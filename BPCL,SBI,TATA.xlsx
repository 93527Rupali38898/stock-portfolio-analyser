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SEM 5\investing\"/>
    </mc:Choice>
  </mc:AlternateContent>
  <xr:revisionPtr revIDLastSave="0" documentId="8_{39A8F9EF-E913-4CAC-80F8-E004512CA003}" xr6:coauthVersionLast="47" xr6:coauthVersionMax="47" xr10:uidLastSave="{00000000-0000-0000-0000-000000000000}"/>
  <bookViews>
    <workbookView xWindow="-108" yWindow="-108" windowWidth="23256" windowHeight="13176" xr2:uid="{EDA05570-4A00-4DD9-A619-C449FDAE0430}"/>
  </bookViews>
  <sheets>
    <sheet name="Stock" sheetId="1" r:id="rId1"/>
    <sheet name="Mutual Fund" sheetId="4" r:id="rId2"/>
    <sheet name="FD" sheetId="3" r:id="rId3"/>
    <sheet name="Sheet1" sheetId="5" r:id="rId4"/>
  </sheets>
  <definedNames>
    <definedName name="_xlnm._FilterDatabase" localSheetId="0" hidden="1">Stock!$K$3:$M$39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" i="1" l="1"/>
  <c r="Q54" i="1"/>
  <c r="Q53" i="1"/>
  <c r="Q55" i="1"/>
  <c r="Q57" i="1"/>
  <c r="Q58" i="1"/>
  <c r="Q59" i="1"/>
  <c r="Q60" i="1"/>
  <c r="Q52" i="1"/>
  <c r="Q49" i="1"/>
  <c r="P49" i="1"/>
  <c r="N60" i="1"/>
  <c r="N59" i="1"/>
  <c r="N58" i="1"/>
  <c r="N57" i="1"/>
  <c r="N56" i="1"/>
  <c r="N55" i="1"/>
  <c r="N54" i="1"/>
  <c r="N53" i="1"/>
  <c r="N52" i="1"/>
  <c r="N49" i="1"/>
  <c r="AI4" i="1"/>
  <c r="AH9" i="1"/>
  <c r="AI9" i="1" s="1"/>
  <c r="AH10" i="1"/>
  <c r="AI10" i="1" s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I20" i="1" s="1"/>
  <c r="AH21" i="1"/>
  <c r="AI21" i="1" s="1"/>
  <c r="AH22" i="1"/>
  <c r="AI22" i="1" s="1"/>
  <c r="AH23" i="1"/>
  <c r="AI23" i="1" s="1"/>
  <c r="AH24" i="1"/>
  <c r="AI24" i="1" s="1"/>
  <c r="AH25" i="1"/>
  <c r="AI25" i="1" s="1"/>
  <c r="AH26" i="1"/>
  <c r="AI26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36" i="1"/>
  <c r="AI36" i="1" s="1"/>
  <c r="AH37" i="1"/>
  <c r="AI37" i="1" s="1"/>
  <c r="AH38" i="1"/>
  <c r="AI38" i="1" s="1"/>
  <c r="AH39" i="1"/>
  <c r="AI39" i="1" s="1"/>
  <c r="AJ39" i="1" s="1"/>
  <c r="AH6" i="1"/>
  <c r="AI6" i="1" s="1"/>
  <c r="AH7" i="1"/>
  <c r="AI7" i="1" s="1"/>
  <c r="AH8" i="1"/>
  <c r="AI8" i="1" s="1"/>
  <c r="AH5" i="1"/>
  <c r="N23" i="1"/>
  <c r="D15" i="1"/>
  <c r="E1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5" i="1"/>
  <c r="D5" i="1"/>
  <c r="X39" i="1"/>
  <c r="Y39" i="1" s="1"/>
  <c r="O39" i="1"/>
  <c r="E39" i="1"/>
  <c r="D39" i="1"/>
  <c r="X38" i="1"/>
  <c r="Y38" i="1" s="1"/>
  <c r="O38" i="1"/>
  <c r="E38" i="1"/>
  <c r="D38" i="1"/>
  <c r="X37" i="1"/>
  <c r="Y37" i="1" s="1"/>
  <c r="O37" i="1"/>
  <c r="E37" i="1"/>
  <c r="D37" i="1"/>
  <c r="X36" i="1"/>
  <c r="Y36" i="1" s="1"/>
  <c r="O36" i="1"/>
  <c r="E36" i="1"/>
  <c r="D36" i="1"/>
  <c r="X35" i="1"/>
  <c r="Y35" i="1" s="1"/>
  <c r="O35" i="1"/>
  <c r="E35" i="1"/>
  <c r="D35" i="1"/>
  <c r="X34" i="1"/>
  <c r="Y34" i="1" s="1"/>
  <c r="O34" i="1"/>
  <c r="E34" i="1"/>
  <c r="D34" i="1"/>
  <c r="X33" i="1"/>
  <c r="Y33" i="1" s="1"/>
  <c r="O33" i="1"/>
  <c r="E33" i="1"/>
  <c r="D33" i="1"/>
  <c r="X32" i="1"/>
  <c r="Y32" i="1" s="1"/>
  <c r="O32" i="1"/>
  <c r="E32" i="1"/>
  <c r="D32" i="1"/>
  <c r="X31" i="1"/>
  <c r="Y31" i="1" s="1"/>
  <c r="O31" i="1"/>
  <c r="E31" i="1"/>
  <c r="D31" i="1"/>
  <c r="X30" i="1"/>
  <c r="Y30" i="1" s="1"/>
  <c r="O30" i="1"/>
  <c r="E30" i="1"/>
  <c r="D30" i="1"/>
  <c r="X29" i="1"/>
  <c r="Y29" i="1" s="1"/>
  <c r="O29" i="1"/>
  <c r="E29" i="1"/>
  <c r="D29" i="1"/>
  <c r="X28" i="1"/>
  <c r="Y28" i="1" s="1"/>
  <c r="O28" i="1"/>
  <c r="E28" i="1"/>
  <c r="D28" i="1"/>
  <c r="X27" i="1"/>
  <c r="Y27" i="1" s="1"/>
  <c r="O27" i="1"/>
  <c r="E27" i="1"/>
  <c r="D27" i="1"/>
  <c r="X26" i="1"/>
  <c r="Y26" i="1" s="1"/>
  <c r="O26" i="1"/>
  <c r="E26" i="1"/>
  <c r="D26" i="1"/>
  <c r="X25" i="1"/>
  <c r="Y25" i="1" s="1"/>
  <c r="O25" i="1"/>
  <c r="E25" i="1"/>
  <c r="D25" i="1"/>
  <c r="X24" i="1"/>
  <c r="Y24" i="1" s="1"/>
  <c r="O24" i="1"/>
  <c r="E24" i="1"/>
  <c r="D24" i="1"/>
  <c r="X23" i="1"/>
  <c r="Y23" i="1" s="1"/>
  <c r="O23" i="1"/>
  <c r="E23" i="1"/>
  <c r="D23" i="1"/>
  <c r="X22" i="1"/>
  <c r="Y22" i="1" s="1"/>
  <c r="O22" i="1"/>
  <c r="E22" i="1"/>
  <c r="D22" i="1"/>
  <c r="X21" i="1"/>
  <c r="Y21" i="1" s="1"/>
  <c r="O21" i="1"/>
  <c r="E21" i="1"/>
  <c r="D21" i="1"/>
  <c r="X20" i="1"/>
  <c r="Y20" i="1" s="1"/>
  <c r="O20" i="1"/>
  <c r="E20" i="1"/>
  <c r="D20" i="1"/>
  <c r="X19" i="1"/>
  <c r="Y19" i="1" s="1"/>
  <c r="O19" i="1"/>
  <c r="E19" i="1"/>
  <c r="D19" i="1"/>
  <c r="X18" i="1"/>
  <c r="Y18" i="1" s="1"/>
  <c r="O18" i="1"/>
  <c r="E18" i="1"/>
  <c r="D18" i="1"/>
  <c r="X17" i="1"/>
  <c r="Y17" i="1" s="1"/>
  <c r="O17" i="1"/>
  <c r="E17" i="1"/>
  <c r="D17" i="1"/>
  <c r="X16" i="1"/>
  <c r="Y16" i="1" s="1"/>
  <c r="O16" i="1"/>
  <c r="E16" i="1"/>
  <c r="D16" i="1"/>
  <c r="X15" i="1"/>
  <c r="Y15" i="1" s="1"/>
  <c r="O15" i="1"/>
  <c r="X14" i="1"/>
  <c r="Y14" i="1" s="1"/>
  <c r="O14" i="1"/>
  <c r="E14" i="1"/>
  <c r="D14" i="1"/>
  <c r="X13" i="1"/>
  <c r="Y13" i="1" s="1"/>
  <c r="O13" i="1"/>
  <c r="E13" i="1"/>
  <c r="D13" i="1"/>
  <c r="X12" i="1"/>
  <c r="Y12" i="1" s="1"/>
  <c r="O12" i="1"/>
  <c r="E12" i="1"/>
  <c r="D12" i="1"/>
  <c r="X11" i="1"/>
  <c r="Y11" i="1" s="1"/>
  <c r="O11" i="1"/>
  <c r="E11" i="1"/>
  <c r="D11" i="1"/>
  <c r="X10" i="1"/>
  <c r="Y10" i="1" s="1"/>
  <c r="O10" i="1"/>
  <c r="E10" i="1"/>
  <c r="D10" i="1"/>
  <c r="X9" i="1"/>
  <c r="Y9" i="1" s="1"/>
  <c r="O9" i="1"/>
  <c r="E9" i="1"/>
  <c r="D9" i="1"/>
  <c r="X8" i="1"/>
  <c r="Y8" i="1" s="1"/>
  <c r="O8" i="1"/>
  <c r="E8" i="1"/>
  <c r="D8" i="1"/>
  <c r="X7" i="1"/>
  <c r="Y7" i="1" s="1"/>
  <c r="O7" i="1"/>
  <c r="E7" i="1"/>
  <c r="D7" i="1"/>
  <c r="X6" i="1"/>
  <c r="Y6" i="1" s="1"/>
  <c r="O6" i="1"/>
  <c r="E6" i="1"/>
  <c r="D6" i="1"/>
  <c r="X5" i="1"/>
  <c r="I58" i="1" s="1"/>
  <c r="O5" i="1"/>
  <c r="E5" i="1"/>
  <c r="Y4" i="1"/>
  <c r="O4" i="1"/>
  <c r="E4" i="1"/>
  <c r="F39" i="1" s="1"/>
  <c r="Z39" i="1" l="1"/>
  <c r="I56" i="1"/>
  <c r="H56" i="1"/>
  <c r="I57" i="1"/>
  <c r="H57" i="1"/>
  <c r="AH40" i="1"/>
  <c r="AK39" i="1"/>
  <c r="AL39" i="1" s="1"/>
  <c r="AI5" i="1"/>
  <c r="AI40" i="1"/>
  <c r="G39" i="1"/>
  <c r="P39" i="1"/>
  <c r="E40" i="1"/>
  <c r="O40" i="1"/>
  <c r="D40" i="1"/>
  <c r="N40" i="1"/>
  <c r="Q39" i="1"/>
  <c r="R39" i="1" s="1"/>
  <c r="X40" i="1"/>
  <c r="Y5" i="1"/>
  <c r="Y40" i="1" s="1"/>
  <c r="AA39" i="1"/>
  <c r="AB39" i="1" s="1"/>
  <c r="H39" i="1" l="1"/>
</calcChain>
</file>

<file path=xl/sharedStrings.xml><?xml version="1.0" encoding="utf-8"?>
<sst xmlns="http://schemas.openxmlformats.org/spreadsheetml/2006/main" count="276" uniqueCount="199">
  <si>
    <t>last three year monthly basis return and CGAR of SBI and BPCL and TATA Steel</t>
  </si>
  <si>
    <t>BPCL</t>
  </si>
  <si>
    <t>SBI</t>
  </si>
  <si>
    <t>TATA Steel</t>
  </si>
  <si>
    <t>ITC</t>
  </si>
  <si>
    <t>Months</t>
  </si>
  <si>
    <t>Closing Price (₹),</t>
  </si>
  <si>
    <t>Dividend per Share (₹)</t>
  </si>
  <si>
    <t>Return</t>
  </si>
  <si>
    <t>Final Close Price(Rs)</t>
  </si>
  <si>
    <t>CAGR</t>
  </si>
  <si>
    <t>Risk</t>
  </si>
  <si>
    <t xml:space="preserve">Coeffienct of variance </t>
  </si>
  <si>
    <t>RISK</t>
  </si>
  <si>
    <t>Date</t>
  </si>
  <si>
    <t>Closing Price (₹)</t>
  </si>
  <si>
    <t>Average</t>
  </si>
  <si>
    <t>Avg. Return</t>
  </si>
  <si>
    <t xml:space="preserve">Risk </t>
  </si>
  <si>
    <t>Coeff. Of Vari.</t>
  </si>
  <si>
    <t>Weightage</t>
  </si>
  <si>
    <t xml:space="preserve">Portfolio Return Of BPCL and SBI </t>
  </si>
  <si>
    <t>CORREL.</t>
  </si>
  <si>
    <t>Portfolio Risk</t>
  </si>
  <si>
    <t>TATA STEEL</t>
  </si>
  <si>
    <t xml:space="preserve">ITC </t>
  </si>
  <si>
    <t>Wa</t>
  </si>
  <si>
    <t>Wb</t>
  </si>
  <si>
    <t>TATA</t>
  </si>
  <si>
    <t xml:space="preserve">bpcl </t>
  </si>
  <si>
    <t>Month</t>
  </si>
  <si>
    <t>Nippon India Growth Fund (NAV ₹)</t>
  </si>
  <si>
    <t>ICICI Pru Large &amp; Mid Cap (NAV ₹)</t>
  </si>
  <si>
    <t>Motilal Oswal Large &amp; Midcap (NAV ₹)</t>
  </si>
  <si>
    <t>UTI Nifty 50 Index Fund (NAV ₹)</t>
  </si>
  <si>
    <t>Nippon
Mthly Return</t>
  </si>
  <si>
    <t>ICICI
Mthly Return</t>
  </si>
  <si>
    <t>Motilal
Mthly Return</t>
  </si>
  <si>
    <t>UTI
Mthly Return</t>
  </si>
  <si>
    <t>Metric / Formula Used</t>
  </si>
  <si>
    <t>Nippon India Growth</t>
  </si>
  <si>
    <t>ICICI Pru Lg-Mid Cap</t>
  </si>
  <si>
    <t>Motilal Oswal Lg-Mid</t>
  </si>
  <si>
    <t>UTI Nifty 50 Index</t>
  </si>
  <si>
    <t>Formula Logic</t>
  </si>
  <si>
    <t>N/A</t>
  </si>
  <si>
    <t>A. RETURN METRICS</t>
  </si>
  <si>
    <t>Starting NAV — Apr 2023 (₹)</t>
  </si>
  <si>
    <t>Direct link to 'Monthly NAV Data' sheet row 5 (Apr 2023 NAV)</t>
  </si>
  <si>
    <t>Ending NAV — Apr 2026 (₹)</t>
  </si>
  <si>
    <t>Direct link to 'Monthly NAV Data' sheet row 41 (Apr 2026 NAV)</t>
  </si>
  <si>
    <t>Absolute 3-Year Return % = (End NAV − Start NAV) / Start NAV</t>
  </si>
  <si>
    <t>(endnav - startnav)/startnav</t>
  </si>
  <si>
    <t>3-Year CAGR % = (End NAV / Start NAV)^(1/3) − 1</t>
  </si>
  <si>
    <t>(endnav/startnav)^(1/3)−1  [CAGR formula for 3 years]</t>
  </si>
  <si>
    <t>1-Year CAGR (Apr 2025 – Apr 2026) = (EndNAV / NAV_Apr2025) − 1</t>
  </si>
  <si>
    <t>(endnav/nav_apr2025)-1  [sheet1 row 29]</t>
  </si>
  <si>
    <t>Average Monthly Return % = AVERAGE of 36 monthly returns</t>
  </si>
  <si>
    <t>AVERAGE(Sheet1 monthly return col, rows 6 to 41)</t>
  </si>
  <si>
    <t>B. RISK METRICS</t>
  </si>
  <si>
    <t>Standard Deviation of Monthly Returns = STDEV(monthly returns)</t>
  </si>
  <si>
    <t>STDEV(Sheet1 monthly return col, rows 6 to 41)</t>
  </si>
  <si>
    <t>Annualized Volatility = Monthly Std Dev × √12</t>
  </si>
  <si>
    <t>STDEV(monthly_returns) * SQRT(12)  — annualization factor</t>
  </si>
  <si>
    <t>Downside Deviation = √(Σ(min(return,0)²) / N)</t>
  </si>
  <si>
    <t>SQRT(SUMPRODUCT(MIN(ret,0)^2)/N)  — only negative return months</t>
  </si>
  <si>
    <t>Max Monthly Drawdown = MIN(monthly returns) in the period</t>
  </si>
  <si>
    <t>MIN(Sheet1 return col) — worst single-month loss in period</t>
  </si>
  <si>
    <t>Positive Return Months = COUNTIF(monthly returns, &gt; 0)</t>
  </si>
  <si>
    <t>COUNTIF(ret_range, &gt;0)</t>
  </si>
  <si>
    <t>Negative Return Months = COUNTIF(monthly returns, &lt; 0)</t>
  </si>
  <si>
    <t>COUNTIF(ret_range, &lt;0)</t>
  </si>
  <si>
    <t>Win Rate % = Positive Months / Total Months</t>
  </si>
  <si>
    <t>COUNTIF(&gt;0) / COUNT(total)  — % of months with positive return</t>
  </si>
  <si>
    <t>C. RISK-ADJUSTED RETURN METRICS</t>
  </si>
  <si>
    <t>Risk-Free Rate (Annual) — Input (RBI Repo Rate ~6.5%)</t>
  </si>
  <si>
    <t>Blue = input. Change to update all Sharpe/Sortino calculations</t>
  </si>
  <si>
    <t>Monthly Risk-Free Rate = Annual RF / 12</t>
  </si>
  <si>
    <t>annualrf/12  [from row 21]</t>
  </si>
  <si>
    <t>Sharpe Ratio = (Avg Monthly Return − Monthly RF) / Monthly Std Dev</t>
  </si>
  <si>
    <t>(avgret - monthlyrf) / stddev  [per month]</t>
  </si>
  <si>
    <t>Annualized Sharpe Ratio = Monthly Sharpe × √12</t>
  </si>
  <si>
    <t>sharpemonthly*SQRT(12)  [row 23]</t>
  </si>
  <si>
    <t>Sortino Ratio = (Avg Monthly Return − Monthly RF) / Downside Dev</t>
  </si>
  <si>
    <t>(avgret-rf)/downsidedev  [only -ve return months in denominator]</t>
  </si>
  <si>
    <t>Coefficient of Variation = Std Dev / Avg Monthly Return (lower = better)</t>
  </si>
  <si>
    <t>stddev/avgreturn  [risk per unit of return — lower=better]</t>
  </si>
  <si>
    <t>D. SUMMARY — BEST AND WORST PERFORMERS</t>
  </si>
  <si>
    <t>Metric</t>
  </si>
  <si>
    <t>Value</t>
  </si>
  <si>
    <t>Fund Name (formula)</t>
  </si>
  <si>
    <t> </t>
  </si>
  <si>
    <t>Formula Used</t>
  </si>
  <si>
    <t>Highest 3Y CAGR (Best Return)</t>
  </si>
  <si>
    <t>max/min across B:E range + index/match for fund name</t>
  </si>
  <si>
    <t>Lowest 3Y CAGR (Worst Return)</t>
  </si>
  <si>
    <t>Highest Annualized Volatility (Most Risky)</t>
  </si>
  <si>
    <t>Lowest Annualized Volatility (Least Risky)</t>
  </si>
  <si>
    <t>Best Sharpe Ratio (Best Risk-Adj Return)</t>
  </si>
  <si>
    <t>Highest Win Rate (Most Consistent)</t>
  </si>
  <si>
    <t>ramlal investment portfolio — fd comparison (3 year, april 2026)</t>
  </si>
  <si>
    <t>fd maturity calculations — assuming ₹1,00,000 investment for 3 years</t>
  </si>
  <si>
    <t>final summary — ramlal's fd decision</t>
  </si>
  <si>
    <t>criteria</t>
  </si>
  <si>
    <t>sbi fd</t>
  </si>
  <si>
    <t>hdfc bank fd</t>
  </si>
  <si>
    <t>bajaj finance fd</t>
  </si>
  <si>
    <t>notes</t>
  </si>
  <si>
    <t>inputs</t>
  </si>
  <si>
    <t>investment goal</t>
  </si>
  <si>
    <t>long-term income security (3-year horizon)</t>
  </si>
  <si>
    <t>fd type</t>
  </si>
  <si>
    <t>regular fixed deposit</t>
  </si>
  <si>
    <t>bajaj finance fd (nbfc)</t>
  </si>
  <si>
    <t>all offer premature withdrawal</t>
  </si>
  <si>
    <t>input item</t>
  </si>
  <si>
    <t>remarks</t>
  </si>
  <si>
    <t>fd's role in portfolio</t>
  </si>
  <si>
    <t>safe anchor — balances high-risk stocks and equity mutual funds</t>
  </si>
  <si>
    <t>3-year interest rate</t>
  </si>
  <si>
    <t>6.40% p.a.</t>
  </si>
  <si>
    <t>6.50% p.a.</t>
  </si>
  <si>
    <t>6.95% p.a.</t>
  </si>
  <si>
    <t>rates updated april 2026</t>
  </si>
  <si>
    <t>principal (₹)</t>
  </si>
  <si>
    <t>same amount for fair comparison</t>
  </si>
  <si>
    <t>compounding</t>
  </si>
  <si>
    <t>quarterly</t>
  </si>
  <si>
    <t>standard for all indian fds</t>
  </si>
  <si>
    <t>annual interest rate</t>
  </si>
  <si>
    <t>sbi=6.40%, hdfc=6.50%, bajaj=6.95%</t>
  </si>
  <si>
    <t>option 1 — sbi fd</t>
  </si>
  <si>
    <t>rate: 6.40% | maturity on ₹1 lakh: ~₹1,20,800 | safest (govt)</t>
  </si>
  <si>
    <t>minimum deposit</t>
  </si>
  <si>
    <t>₹1,000</t>
  </si>
  <si>
    <t>₹5,000</t>
  </si>
  <si>
    <t>₹15,000</t>
  </si>
  <si>
    <t>bajaj has highest min deposit</t>
  </si>
  <si>
    <t>tenure (years)</t>
  </si>
  <si>
    <t>all 3-year fds</t>
  </si>
  <si>
    <t>option 2 — hdfc bank fd</t>
  </si>
  <si>
    <t>rate: 6.50% | maturity on ₹1 lakh: ~₹1,21,330 | safe + better return</t>
  </si>
  <si>
    <t>deposit insurance</t>
  </si>
  <si>
    <t>yes — dicgc ₹5 lakh</t>
  </si>
  <si>
    <t>no dicgc (nbfc)</t>
  </si>
  <si>
    <t>bank fds are dicgc insured</t>
  </si>
  <si>
    <t>compounding per year</t>
  </si>
  <si>
    <t>quarterly compounding = 4 times/year</t>
  </si>
  <si>
    <t>option 3 — bajaj finance fd</t>
  </si>
  <si>
    <t>rate: 6.95% | maturity on ₹1 lakh: ~₹1,22,800 | higher return, nbfc risk</t>
  </si>
  <si>
    <t>credit rating / safety</t>
  </si>
  <si>
    <t>government-backed psu</t>
  </si>
  <si>
    <t>private bank, regulated</t>
  </si>
  <si>
    <t>crisil aaa rated nbfc</t>
  </si>
  <si>
    <t>sbi safest; bajaj is nbfc</t>
  </si>
  <si>
    <t>premature withdrawal</t>
  </si>
  <si>
    <t>yes, 0.50% penalty</t>
  </si>
  <si>
    <t>yes, 1% penalty</t>
  </si>
  <si>
    <t>yes, penalty applies</t>
  </si>
  <si>
    <t>check terms before booking</t>
  </si>
  <si>
    <t>results (calculated using excel formulas)</t>
  </si>
  <si>
    <t>winner — hdfc bank fd (6.50%)</t>
  </si>
  <si>
    <t>best balance of safety, return, and convenience for ramlal</t>
  </si>
  <si>
    <t>interest payout option</t>
  </si>
  <si>
    <t>monthly/quarterly/at mat</t>
  </si>
  <si>
    <t>all give payout flexibility</t>
  </si>
  <si>
    <t>result item</t>
  </si>
  <si>
    <t>online booking</t>
  </si>
  <si>
    <t>yes — yono app / net</t>
  </si>
  <si>
    <t>yes — net banking / app</t>
  </si>
  <si>
    <t>yes — bajaj finserv app</t>
  </si>
  <si>
    <t>all digital, easy to open</t>
  </si>
  <si>
    <t>maturity amount (₹)</t>
  </si>
  <si>
    <t>money you get back at end of 3 years</t>
  </si>
  <si>
    <t>how calculations done</t>
  </si>
  <si>
    <t>maturity = principal × (1 + rate/4) ^ (4 × years) | quarterly compounding</t>
  </si>
  <si>
    <t>loan against fd</t>
  </si>
  <si>
    <t>yes, up to 90%</t>
  </si>
  <si>
    <t>yes, up to 75%</t>
  </si>
  <si>
    <t>useful if ramlal needs cash</t>
  </si>
  <si>
    <t>total interest earned (₹)</t>
  </si>
  <si>
    <t>profit = maturity amount minus principal</t>
  </si>
  <si>
    <t>key assumption</t>
  </si>
  <si>
    <t>₹1,00,000 principal | 3 years | general citizen rates | april 2026 data</t>
  </si>
  <si>
    <t>track record</t>
  </si>
  <si>
    <t>200+ years, psu giant</t>
  </si>
  <si>
    <t>30+ years, largest pvt</t>
  </si>
  <si>
    <t>30+ years, aaa nbfc</t>
  </si>
  <si>
    <t>all well-established</t>
  </si>
  <si>
    <t>extra interest vs sbi (₹)</t>
  </si>
  <si>
    <t>how much more than sbi fd returns</t>
  </si>
  <si>
    <t>best suited for</t>
  </si>
  <si>
    <t>maximum safety priority</t>
  </si>
  <si>
    <t>safety + decent return</t>
  </si>
  <si>
    <t>higher return, low risk</t>
  </si>
  <si>
    <t>effective annual yield</t>
  </si>
  <si>
    <t>actual yearly return after compounding</t>
  </si>
  <si>
    <t>important note</t>
  </si>
  <si>
    <t>fd interest income is taxable as per ramlal's income tax slab. tds will be deducted if interest exceeds ₹40,000/year. submit form 15g if income is below taxable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</si>
</sst>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13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232526"/>
      <name val="Inter"/>
      <charset val="1"/>
    </font>
    <font>
      <sz val="11"/>
      <color rgb="FF000000"/>
      <name val="Times New Roman"/>
      <charset val="1"/>
    </font>
    <font>
      <b/>
      <sz val="10"/>
      <name val="Times New Roman"/>
    </font>
    <font>
      <sz val="11"/>
      <color theme="1"/>
      <name val="Times New Roman"/>
    </font>
    <font>
      <sz val="1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3"/>
      <name val="Times New Roman"/>
    </font>
    <font>
      <i/>
      <sz val="9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10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10" fontId="10" fillId="0" borderId="5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3" fontId="8" fillId="0" borderId="11" xfId="0" applyNumberFormat="1" applyFont="1" applyFill="1" applyBorder="1" applyAlignment="1">
      <alignment horizontal="center" vertical="center"/>
    </xf>
    <xf numFmtId="10" fontId="8" fillId="0" borderId="11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" fontId="10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308A-FD08-4748-93D4-FB9580F29FF8}">
  <dimension ref="A1:AL66"/>
  <sheetViews>
    <sheetView tabSelected="1" topLeftCell="B41" zoomScale="66" zoomScaleNormal="100" workbookViewId="0">
      <selection activeCell="Q52" sqref="Q52"/>
    </sheetView>
  </sheetViews>
  <sheetFormatPr defaultColWidth="8.85546875" defaultRowHeight="13.9"/>
  <cols>
    <col min="1" max="1" width="10.85546875" style="1" bestFit="1" customWidth="1"/>
    <col min="2" max="2" width="16.5703125" style="1" bestFit="1" customWidth="1"/>
    <col min="3" max="3" width="12.140625" style="1" bestFit="1" customWidth="1"/>
    <col min="4" max="4" width="12.5703125" style="1" bestFit="1" customWidth="1"/>
    <col min="5" max="5" width="14.28515625" style="1" bestFit="1" customWidth="1"/>
    <col min="6" max="6" width="14" style="1" bestFit="1" customWidth="1"/>
    <col min="7" max="7" width="15.42578125" style="1" bestFit="1" customWidth="1"/>
    <col min="8" max="8" width="14.5703125" style="1" bestFit="1" customWidth="1"/>
    <col min="9" max="9" width="26.28515625" style="1" bestFit="1" customWidth="1"/>
    <col min="10" max="10" width="8.85546875" style="1"/>
    <col min="11" max="11" width="10.85546875" style="1" bestFit="1" customWidth="1"/>
    <col min="12" max="12" width="16.5703125" style="1" bestFit="1" customWidth="1"/>
    <col min="13" max="13" width="13.7109375" style="1" bestFit="1" customWidth="1"/>
    <col min="14" max="15" width="13.42578125" style="1" bestFit="1" customWidth="1"/>
    <col min="16" max="16" width="12.140625" style="1" bestFit="1" customWidth="1"/>
    <col min="17" max="17" width="12.7109375" style="1" bestFit="1" customWidth="1"/>
    <col min="18" max="18" width="12.28515625" style="1" bestFit="1" customWidth="1"/>
    <col min="19" max="20" width="8.85546875" style="1"/>
    <col min="21" max="21" width="10.85546875" style="1" bestFit="1" customWidth="1"/>
    <col min="22" max="22" width="16.5703125" style="1" bestFit="1" customWidth="1"/>
    <col min="23" max="23" width="12.140625" style="1" bestFit="1" customWidth="1"/>
    <col min="24" max="25" width="13.42578125" style="1" bestFit="1" customWidth="1"/>
    <col min="26" max="28" width="12.140625" style="1" bestFit="1" customWidth="1"/>
    <col min="29" max="30" width="8.85546875" style="1"/>
    <col min="31" max="31" width="10.85546875" style="1" bestFit="1" customWidth="1"/>
    <col min="32" max="32" width="16.140625" style="1" bestFit="1" customWidth="1"/>
    <col min="33" max="33" width="21.7109375" style="1" bestFit="1" customWidth="1"/>
    <col min="34" max="34" width="13.42578125" style="1" bestFit="1" customWidth="1"/>
    <col min="35" max="35" width="15.28515625" style="1" customWidth="1"/>
    <col min="36" max="37" width="12.140625" style="1" bestFit="1" customWidth="1"/>
    <col min="38" max="38" width="14.28515625" style="1" customWidth="1"/>
    <col min="39" max="16384" width="8.85546875" style="1"/>
  </cols>
  <sheetData>
    <row r="1" spans="1:38">
      <c r="D1" s="2"/>
      <c r="E1" s="2"/>
      <c r="F1" s="51" t="s">
        <v>0</v>
      </c>
      <c r="G1" s="51"/>
      <c r="H1" s="51"/>
      <c r="I1" s="51"/>
      <c r="J1" s="51"/>
      <c r="K1" s="51"/>
      <c r="L1" s="51"/>
      <c r="M1" s="51"/>
      <c r="N1" s="2"/>
      <c r="O1" s="2"/>
    </row>
    <row r="2" spans="1:38" ht="15">
      <c r="A2" s="45"/>
      <c r="B2" s="45"/>
      <c r="C2" s="45" t="s">
        <v>1</v>
      </c>
      <c r="D2" s="45"/>
      <c r="E2" s="45"/>
      <c r="F2" s="45"/>
      <c r="K2" s="45"/>
      <c r="L2" s="45"/>
      <c r="M2" s="45" t="s">
        <v>2</v>
      </c>
      <c r="N2" s="45"/>
      <c r="O2" s="45"/>
      <c r="P2" s="45"/>
      <c r="V2" s="45" t="s">
        <v>3</v>
      </c>
      <c r="AF2" s="45" t="s">
        <v>4</v>
      </c>
    </row>
    <row r="3" spans="1:38" ht="33.6" customHeight="1">
      <c r="A3" s="45" t="s">
        <v>5</v>
      </c>
      <c r="B3" s="45" t="s">
        <v>6</v>
      </c>
      <c r="C3" s="4" t="s">
        <v>7</v>
      </c>
      <c r="D3" s="45" t="s">
        <v>8</v>
      </c>
      <c r="E3" s="4" t="s">
        <v>9</v>
      </c>
      <c r="F3" s="45" t="s">
        <v>10</v>
      </c>
      <c r="G3" s="4" t="s">
        <v>11</v>
      </c>
      <c r="H3" s="4" t="s">
        <v>12</v>
      </c>
      <c r="I3" s="45"/>
      <c r="J3" s="45"/>
      <c r="K3" s="45" t="s">
        <v>5</v>
      </c>
      <c r="L3" s="45" t="s">
        <v>6</v>
      </c>
      <c r="M3" s="4" t="s">
        <v>7</v>
      </c>
      <c r="N3" s="45" t="s">
        <v>8</v>
      </c>
      <c r="O3" s="4" t="s">
        <v>9</v>
      </c>
      <c r="P3" s="45" t="s">
        <v>10</v>
      </c>
      <c r="Q3" s="45" t="s">
        <v>13</v>
      </c>
      <c r="R3" s="4" t="s">
        <v>12</v>
      </c>
      <c r="S3" s="45"/>
      <c r="T3" s="45"/>
      <c r="U3" s="45" t="s">
        <v>14</v>
      </c>
      <c r="V3" s="45" t="s">
        <v>6</v>
      </c>
      <c r="W3" s="4" t="s">
        <v>7</v>
      </c>
      <c r="X3" s="45" t="s">
        <v>8</v>
      </c>
      <c r="Y3" s="4" t="s">
        <v>9</v>
      </c>
      <c r="Z3" s="45" t="s">
        <v>10</v>
      </c>
      <c r="AA3" s="45" t="s">
        <v>13</v>
      </c>
      <c r="AB3" s="4" t="s">
        <v>12</v>
      </c>
      <c r="AE3" s="45" t="s">
        <v>5</v>
      </c>
      <c r="AF3" s="45" t="s">
        <v>15</v>
      </c>
      <c r="AG3" s="45" t="s">
        <v>7</v>
      </c>
      <c r="AH3" s="45" t="s">
        <v>8</v>
      </c>
      <c r="AI3" s="4" t="s">
        <v>9</v>
      </c>
      <c r="AJ3" s="45" t="s">
        <v>10</v>
      </c>
      <c r="AK3" s="45" t="s">
        <v>13</v>
      </c>
      <c r="AL3" s="4" t="s">
        <v>12</v>
      </c>
    </row>
    <row r="4" spans="1:38" ht="15">
      <c r="A4" s="6">
        <v>44927</v>
      </c>
      <c r="B4" s="7">
        <v>171.63</v>
      </c>
      <c r="C4" s="1">
        <v>0</v>
      </c>
      <c r="D4" s="2">
        <v>0</v>
      </c>
      <c r="E4" s="2">
        <f>B4+C4</f>
        <v>171.63</v>
      </c>
      <c r="F4" s="2"/>
      <c r="K4" s="6">
        <v>44927</v>
      </c>
      <c r="L4" s="7">
        <v>553.5</v>
      </c>
      <c r="M4" s="1">
        <v>0</v>
      </c>
      <c r="N4" s="2">
        <v>0</v>
      </c>
      <c r="O4" s="2">
        <f>L4+M4</f>
        <v>553.5</v>
      </c>
      <c r="U4" s="6">
        <v>44927</v>
      </c>
      <c r="V4" s="7">
        <v>119.7</v>
      </c>
      <c r="W4" s="1">
        <v>0</v>
      </c>
      <c r="X4" s="2">
        <v>0</v>
      </c>
      <c r="Y4" s="1">
        <f>SUM(V4,X4)</f>
        <v>119.7</v>
      </c>
      <c r="AE4" s="6">
        <v>44927</v>
      </c>
      <c r="AF4" s="1">
        <v>350.19</v>
      </c>
      <c r="AG4" s="14">
        <v>0</v>
      </c>
      <c r="AH4" s="2">
        <v>0</v>
      </c>
      <c r="AI4" s="1">
        <f>SUM(AF4,AH4)</f>
        <v>350.19</v>
      </c>
    </row>
    <row r="5" spans="1:38" ht="15">
      <c r="A5" s="6">
        <v>44958</v>
      </c>
      <c r="B5" s="7">
        <v>158.68</v>
      </c>
      <c r="C5" s="1">
        <v>0</v>
      </c>
      <c r="D5" s="2">
        <f>((B5-B4)+C5)/B4 *100</f>
        <v>-7.5453009380644351</v>
      </c>
      <c r="E5" s="2">
        <f t="shared" ref="E5:E39" si="0">B5+C5</f>
        <v>158.68</v>
      </c>
      <c r="F5" s="2"/>
      <c r="K5" s="6">
        <v>44958</v>
      </c>
      <c r="L5" s="7">
        <v>522.79999999999995</v>
      </c>
      <c r="M5" s="1">
        <v>0</v>
      </c>
      <c r="N5" s="2">
        <f>((M5+(L5-L4))/L4)*100</f>
        <v>-5.5465221318879943</v>
      </c>
      <c r="O5" s="2">
        <f t="shared" ref="O5:O39" si="1">L5+M5</f>
        <v>522.79999999999995</v>
      </c>
      <c r="U5" s="6">
        <v>44958</v>
      </c>
      <c r="V5" s="7">
        <v>103.95</v>
      </c>
      <c r="W5" s="1">
        <v>0</v>
      </c>
      <c r="X5" s="2">
        <f>(((V5-V4)+W5)/V4)*100</f>
        <v>-13.157894736842104</v>
      </c>
      <c r="Y5" s="1">
        <f t="shared" ref="Y5:Y39" si="2">SUM(V5,X5)</f>
        <v>90.792105263157893</v>
      </c>
      <c r="AE5" s="6">
        <v>44958</v>
      </c>
      <c r="AF5" s="1">
        <v>374.39</v>
      </c>
      <c r="AG5" s="14">
        <v>0</v>
      </c>
      <c r="AH5" s="2">
        <f>(((AF5-AF4)+AG5)/AF4)*100</f>
        <v>6.910534281390099</v>
      </c>
      <c r="AI5" s="1">
        <f t="shared" ref="AI5:AI39" si="3">SUM(AF5,AH5)</f>
        <v>381.30053428139007</v>
      </c>
    </row>
    <row r="6" spans="1:38" ht="15">
      <c r="A6" s="6">
        <v>44986</v>
      </c>
      <c r="B6" s="7">
        <v>172.15</v>
      </c>
      <c r="C6" s="1">
        <v>0</v>
      </c>
      <c r="D6" s="2">
        <f>((B6-B5)+C6)/B5 *100</f>
        <v>8.4887824552558602</v>
      </c>
      <c r="E6" s="2">
        <f t="shared" si="0"/>
        <v>172.15</v>
      </c>
      <c r="F6" s="2"/>
      <c r="K6" s="6">
        <v>44986</v>
      </c>
      <c r="L6" s="7">
        <v>523.75</v>
      </c>
      <c r="M6" s="1">
        <v>0</v>
      </c>
      <c r="N6" s="2">
        <f t="shared" ref="N6:N39" si="4">((M6+(L6-L5))/L5)*100</f>
        <v>0.18171384850804237</v>
      </c>
      <c r="O6" s="2">
        <f t="shared" si="1"/>
        <v>523.75</v>
      </c>
      <c r="U6" s="6">
        <v>44986</v>
      </c>
      <c r="V6" s="7">
        <v>104.5</v>
      </c>
      <c r="W6" s="1">
        <v>0</v>
      </c>
      <c r="X6" s="2">
        <f t="shared" ref="X6:X39" si="5">(((V6-V5)+W6)/V5)*100</f>
        <v>0.52910052910052641</v>
      </c>
      <c r="Y6" s="1">
        <f t="shared" si="2"/>
        <v>105.02910052910053</v>
      </c>
      <c r="AE6" s="6">
        <v>44986</v>
      </c>
      <c r="AF6" s="1">
        <v>381.15</v>
      </c>
      <c r="AG6" s="15">
        <v>6</v>
      </c>
      <c r="AH6" s="2">
        <f t="shared" ref="AH6:AH39" si="6">(((AF6-AF5)+AG6)/AF5)*100</f>
        <v>3.4082106893880693</v>
      </c>
      <c r="AI6" s="1">
        <f t="shared" si="3"/>
        <v>384.55821068938803</v>
      </c>
    </row>
    <row r="7" spans="1:38" ht="15">
      <c r="A7" s="6">
        <v>45017</v>
      </c>
      <c r="B7" s="7">
        <v>178.8</v>
      </c>
      <c r="C7" s="1">
        <v>0</v>
      </c>
      <c r="D7" s="2">
        <f t="shared" ref="D7:D39" si="7">((B7-B6)+C7)/B6 *100</f>
        <v>3.8629102526866141</v>
      </c>
      <c r="E7" s="2">
        <f t="shared" si="0"/>
        <v>178.8</v>
      </c>
      <c r="K7" s="6">
        <v>45017</v>
      </c>
      <c r="L7" s="7">
        <v>578.29999999999995</v>
      </c>
      <c r="M7" s="1">
        <v>0</v>
      </c>
      <c r="N7" s="2">
        <f t="shared" si="4"/>
        <v>10.415274463007151</v>
      </c>
      <c r="O7" s="2">
        <f t="shared" si="1"/>
        <v>578.29999999999995</v>
      </c>
      <c r="U7" s="6">
        <v>45017</v>
      </c>
      <c r="V7" s="7">
        <v>107.95</v>
      </c>
      <c r="W7" s="1">
        <v>0</v>
      </c>
      <c r="X7" s="2">
        <f t="shared" si="5"/>
        <v>3.3014354066985669</v>
      </c>
      <c r="Y7" s="1">
        <f t="shared" si="2"/>
        <v>111.25143540669858</v>
      </c>
      <c r="AE7" s="6">
        <v>45017</v>
      </c>
      <c r="AF7" s="1">
        <v>422.94</v>
      </c>
      <c r="AG7" s="16">
        <v>0</v>
      </c>
      <c r="AH7" s="2">
        <f t="shared" si="6"/>
        <v>10.964187327823698</v>
      </c>
      <c r="AI7" s="1">
        <f t="shared" si="3"/>
        <v>433.90418732782371</v>
      </c>
    </row>
    <row r="8" spans="1:38" ht="15">
      <c r="A8" s="6">
        <v>45047</v>
      </c>
      <c r="B8" s="7">
        <v>181.75</v>
      </c>
      <c r="C8" s="1">
        <v>0</v>
      </c>
      <c r="D8" s="2">
        <f t="shared" si="7"/>
        <v>1.6498881431767274</v>
      </c>
      <c r="E8" s="2">
        <f t="shared" si="0"/>
        <v>181.75</v>
      </c>
      <c r="K8" s="6">
        <v>45047</v>
      </c>
      <c r="L8" s="7">
        <v>579.85</v>
      </c>
      <c r="M8" s="1">
        <v>11.3</v>
      </c>
      <c r="N8" s="2">
        <f t="shared" si="4"/>
        <v>2.2220300881895327</v>
      </c>
      <c r="O8" s="2">
        <f t="shared" si="1"/>
        <v>591.15</v>
      </c>
      <c r="U8" s="6">
        <v>45047</v>
      </c>
      <c r="V8" s="7">
        <v>105.8</v>
      </c>
      <c r="W8" s="1">
        <v>0</v>
      </c>
      <c r="X8" s="2">
        <f t="shared" si="5"/>
        <v>-1.9916628068550306</v>
      </c>
      <c r="Y8" s="1">
        <f t="shared" si="2"/>
        <v>103.80833719314496</v>
      </c>
      <c r="AE8" s="6">
        <v>45047</v>
      </c>
      <c r="AF8" s="1">
        <v>445.5</v>
      </c>
      <c r="AG8" s="14">
        <v>0</v>
      </c>
      <c r="AH8" s="2">
        <f t="shared" si="6"/>
        <v>5.3340899418357219</v>
      </c>
      <c r="AI8" s="1">
        <f t="shared" si="3"/>
        <v>450.83408994183571</v>
      </c>
    </row>
    <row r="9" spans="1:38" ht="15">
      <c r="A9" s="6">
        <v>45078</v>
      </c>
      <c r="B9" s="7">
        <v>182.35</v>
      </c>
      <c r="C9" s="1">
        <v>0</v>
      </c>
      <c r="D9" s="2">
        <f t="shared" si="7"/>
        <v>0.33012379642365575</v>
      </c>
      <c r="E9" s="2">
        <f t="shared" si="0"/>
        <v>182.35</v>
      </c>
      <c r="K9" s="6">
        <v>45078</v>
      </c>
      <c r="L9" s="7">
        <v>572.85</v>
      </c>
      <c r="M9" s="1">
        <v>0</v>
      </c>
      <c r="N9" s="2">
        <f t="shared" si="4"/>
        <v>-1.2072087608864361</v>
      </c>
      <c r="O9" s="2">
        <f t="shared" si="1"/>
        <v>572.85</v>
      </c>
      <c r="U9" s="6">
        <v>45078</v>
      </c>
      <c r="V9" s="7">
        <v>112</v>
      </c>
      <c r="W9" s="1">
        <v>3.6</v>
      </c>
      <c r="X9" s="2">
        <f t="shared" si="5"/>
        <v>9.2627599243856356</v>
      </c>
      <c r="Y9" s="1">
        <f t="shared" si="2"/>
        <v>121.26275992438563</v>
      </c>
      <c r="AE9" s="6">
        <v>45078</v>
      </c>
      <c r="AF9" s="1">
        <v>451.6</v>
      </c>
      <c r="AG9" s="14">
        <v>0</v>
      </c>
      <c r="AH9" s="2">
        <f t="shared" si="6"/>
        <v>1.3692480359147077</v>
      </c>
      <c r="AI9" s="1">
        <f t="shared" si="3"/>
        <v>452.96924803591475</v>
      </c>
    </row>
    <row r="10" spans="1:38" ht="15">
      <c r="A10" s="6">
        <v>45108</v>
      </c>
      <c r="B10" s="7">
        <v>188.75</v>
      </c>
      <c r="C10" s="1">
        <v>0</v>
      </c>
      <c r="D10" s="2">
        <f t="shared" si="7"/>
        <v>3.5097340279681961</v>
      </c>
      <c r="E10" s="2">
        <f t="shared" si="0"/>
        <v>188.75</v>
      </c>
      <c r="K10" s="6">
        <v>45108</v>
      </c>
      <c r="L10" s="7">
        <v>620.20000000000005</v>
      </c>
      <c r="M10" s="1">
        <v>0</v>
      </c>
      <c r="N10" s="2">
        <f t="shared" si="4"/>
        <v>8.2656890983678135</v>
      </c>
      <c r="O10" s="2">
        <f t="shared" si="1"/>
        <v>620.20000000000005</v>
      </c>
      <c r="U10" s="6">
        <v>45108</v>
      </c>
      <c r="V10" s="7">
        <v>123.15</v>
      </c>
      <c r="W10" s="1">
        <v>0</v>
      </c>
      <c r="X10" s="2">
        <f t="shared" si="5"/>
        <v>9.9553571428571477</v>
      </c>
      <c r="Y10" s="1">
        <f t="shared" si="2"/>
        <v>133.10535714285714</v>
      </c>
      <c r="AE10" s="6">
        <v>45108</v>
      </c>
      <c r="AF10" s="1">
        <v>465.7</v>
      </c>
      <c r="AG10" s="14">
        <v>0</v>
      </c>
      <c r="AH10" s="2">
        <f t="shared" si="6"/>
        <v>3.122232063773243</v>
      </c>
      <c r="AI10" s="1">
        <f t="shared" si="3"/>
        <v>468.82223206377324</v>
      </c>
    </row>
    <row r="11" spans="1:38" ht="15">
      <c r="A11" s="6">
        <v>45139</v>
      </c>
      <c r="B11" s="7">
        <v>170.27</v>
      </c>
      <c r="C11" s="1">
        <v>0</v>
      </c>
      <c r="D11" s="2">
        <f t="shared" si="7"/>
        <v>-9.7907284768211866</v>
      </c>
      <c r="E11" s="2">
        <f t="shared" si="0"/>
        <v>170.27</v>
      </c>
      <c r="K11" s="6">
        <v>45139</v>
      </c>
      <c r="L11" s="7">
        <v>561.35</v>
      </c>
      <c r="M11" s="1">
        <v>0</v>
      </c>
      <c r="N11" s="2">
        <f t="shared" si="4"/>
        <v>-9.4888745565946486</v>
      </c>
      <c r="O11" s="2">
        <f t="shared" si="1"/>
        <v>561.35</v>
      </c>
      <c r="U11" s="6">
        <v>45139</v>
      </c>
      <c r="V11" s="7">
        <v>122.9</v>
      </c>
      <c r="W11" s="1">
        <v>0</v>
      </c>
      <c r="X11" s="2">
        <f t="shared" si="5"/>
        <v>-0.20300446609825418</v>
      </c>
      <c r="Y11" s="1">
        <f t="shared" si="2"/>
        <v>122.69699553390176</v>
      </c>
      <c r="AE11" s="6">
        <v>45139</v>
      </c>
      <c r="AF11" s="1">
        <v>439.7</v>
      </c>
      <c r="AG11" s="17">
        <v>9.5</v>
      </c>
      <c r="AH11" s="2">
        <f t="shared" si="6"/>
        <v>-3.5430534678977881</v>
      </c>
      <c r="AI11" s="1">
        <f t="shared" si="3"/>
        <v>436.15694653210221</v>
      </c>
    </row>
    <row r="12" spans="1:38" ht="15">
      <c r="A12" s="6">
        <v>45170</v>
      </c>
      <c r="B12" s="7">
        <v>173.3</v>
      </c>
      <c r="C12" s="1">
        <v>0</v>
      </c>
      <c r="D12" s="2">
        <f t="shared" si="7"/>
        <v>1.7795266341692613</v>
      </c>
      <c r="E12" s="2">
        <f t="shared" si="0"/>
        <v>173.3</v>
      </c>
      <c r="K12" s="6">
        <v>45170</v>
      </c>
      <c r="L12" s="7">
        <v>598.54999999999995</v>
      </c>
      <c r="M12" s="1">
        <v>0</v>
      </c>
      <c r="N12" s="2">
        <f t="shared" si="4"/>
        <v>6.6268816246548372</v>
      </c>
      <c r="O12" s="2">
        <f t="shared" si="1"/>
        <v>598.54999999999995</v>
      </c>
      <c r="U12" s="6">
        <v>45170</v>
      </c>
      <c r="V12" s="7">
        <v>128.9</v>
      </c>
      <c r="W12" s="1">
        <v>0</v>
      </c>
      <c r="X12" s="2">
        <f t="shared" si="5"/>
        <v>4.8820179007323024</v>
      </c>
      <c r="Y12" s="1">
        <f t="shared" si="2"/>
        <v>133.78201790073231</v>
      </c>
      <c r="AE12" s="6">
        <v>45170</v>
      </c>
      <c r="AF12" s="1">
        <v>444.4</v>
      </c>
      <c r="AG12" s="16">
        <v>0</v>
      </c>
      <c r="AH12" s="2">
        <f t="shared" si="6"/>
        <v>1.0689106208778687</v>
      </c>
      <c r="AI12" s="1">
        <f t="shared" si="3"/>
        <v>445.46891062087786</v>
      </c>
    </row>
    <row r="13" spans="1:38" ht="15">
      <c r="A13" s="6">
        <v>45200</v>
      </c>
      <c r="B13" s="7">
        <v>174.63</v>
      </c>
      <c r="C13" s="1">
        <v>0</v>
      </c>
      <c r="D13" s="2">
        <f t="shared" si="7"/>
        <v>0.76745527986150264</v>
      </c>
      <c r="E13" s="2">
        <f t="shared" si="0"/>
        <v>174.63</v>
      </c>
      <c r="K13" s="6">
        <v>45200</v>
      </c>
      <c r="L13" s="7">
        <v>565.54999999999995</v>
      </c>
      <c r="M13" s="1">
        <v>0</v>
      </c>
      <c r="N13" s="2">
        <f t="shared" si="4"/>
        <v>-5.5133238660095234</v>
      </c>
      <c r="O13" s="2">
        <f t="shared" si="1"/>
        <v>565.54999999999995</v>
      </c>
      <c r="U13" s="6">
        <v>45200</v>
      </c>
      <c r="V13" s="7">
        <v>118.75</v>
      </c>
      <c r="W13" s="1">
        <v>0</v>
      </c>
      <c r="X13" s="2">
        <f t="shared" si="5"/>
        <v>-7.8743211792086933</v>
      </c>
      <c r="Y13" s="1">
        <f t="shared" si="2"/>
        <v>110.87567882079131</v>
      </c>
      <c r="AE13" s="6">
        <v>45200</v>
      </c>
      <c r="AF13" s="1">
        <v>428.4</v>
      </c>
      <c r="AG13" s="14">
        <v>0</v>
      </c>
      <c r="AH13" s="2">
        <f t="shared" si="6"/>
        <v>-3.6003600360036003</v>
      </c>
      <c r="AI13" s="1">
        <f t="shared" si="3"/>
        <v>424.79963996399636</v>
      </c>
    </row>
    <row r="14" spans="1:38" ht="15">
      <c r="A14" s="6">
        <v>45231</v>
      </c>
      <c r="B14" s="7">
        <v>217.85</v>
      </c>
      <c r="C14" s="1">
        <v>0</v>
      </c>
      <c r="D14" s="2">
        <f t="shared" si="7"/>
        <v>24.74947030865258</v>
      </c>
      <c r="E14" s="2">
        <f t="shared" si="0"/>
        <v>217.85</v>
      </c>
      <c r="K14" s="6">
        <v>45231</v>
      </c>
      <c r="L14" s="7">
        <v>564.75</v>
      </c>
      <c r="M14" s="1">
        <v>0</v>
      </c>
      <c r="N14" s="2">
        <f t="shared" si="4"/>
        <v>-0.14145522058172658</v>
      </c>
      <c r="O14" s="2">
        <f t="shared" si="1"/>
        <v>564.75</v>
      </c>
      <c r="U14" s="6">
        <v>45231</v>
      </c>
      <c r="V14" s="7">
        <v>127.9</v>
      </c>
      <c r="W14" s="1">
        <v>0</v>
      </c>
      <c r="X14" s="2">
        <f t="shared" si="5"/>
        <v>7.7052631578947413</v>
      </c>
      <c r="Y14" s="1">
        <f t="shared" si="2"/>
        <v>135.60526315789474</v>
      </c>
      <c r="AE14" s="6">
        <v>45231</v>
      </c>
      <c r="AF14" s="1">
        <v>435.8</v>
      </c>
      <c r="AG14" s="14">
        <v>0</v>
      </c>
      <c r="AH14" s="2">
        <f t="shared" si="6"/>
        <v>1.727357609710559</v>
      </c>
      <c r="AI14" s="1">
        <f t="shared" si="3"/>
        <v>437.52735760971058</v>
      </c>
    </row>
    <row r="15" spans="1:38" ht="15">
      <c r="A15" s="6">
        <v>45261</v>
      </c>
      <c r="B15" s="7">
        <v>225.32</v>
      </c>
      <c r="C15" s="1">
        <v>10.5</v>
      </c>
      <c r="D15" s="2">
        <f t="shared" si="7"/>
        <v>8.248795042460408</v>
      </c>
      <c r="E15" s="2">
        <f t="shared" si="0"/>
        <v>235.82</v>
      </c>
      <c r="K15" s="6">
        <v>45261</v>
      </c>
      <c r="L15" s="7">
        <v>642.04999999999995</v>
      </c>
      <c r="M15" s="1">
        <v>0</v>
      </c>
      <c r="N15" s="2">
        <f t="shared" si="4"/>
        <v>13.687472332890652</v>
      </c>
      <c r="O15" s="2">
        <f t="shared" si="1"/>
        <v>642.04999999999995</v>
      </c>
      <c r="U15" s="6">
        <v>45261</v>
      </c>
      <c r="V15" s="7">
        <v>139.6</v>
      </c>
      <c r="W15" s="1">
        <v>0</v>
      </c>
      <c r="X15" s="2">
        <f t="shared" si="5"/>
        <v>9.1477716966379887</v>
      </c>
      <c r="Y15" s="1">
        <f t="shared" si="2"/>
        <v>148.74777169663798</v>
      </c>
      <c r="AE15" s="6">
        <v>45261</v>
      </c>
      <c r="AF15" s="1">
        <v>462.1</v>
      </c>
      <c r="AG15" s="14">
        <v>0</v>
      </c>
      <c r="AH15" s="2">
        <f t="shared" si="6"/>
        <v>6.0348783845800851</v>
      </c>
      <c r="AI15" s="1">
        <f t="shared" si="3"/>
        <v>468.13487838458013</v>
      </c>
    </row>
    <row r="16" spans="1:38" ht="15">
      <c r="A16" s="6">
        <v>45292</v>
      </c>
      <c r="B16" s="7">
        <v>251.18</v>
      </c>
      <c r="C16" s="1">
        <v>0</v>
      </c>
      <c r="D16" s="2">
        <f t="shared" si="7"/>
        <v>11.47701047399255</v>
      </c>
      <c r="E16" s="2">
        <f t="shared" si="0"/>
        <v>251.18</v>
      </c>
      <c r="K16" s="6">
        <v>45292</v>
      </c>
      <c r="L16" s="7">
        <v>640.5</v>
      </c>
      <c r="M16" s="1">
        <v>0</v>
      </c>
      <c r="N16" s="2">
        <f t="shared" si="4"/>
        <v>-0.241414220076311</v>
      </c>
      <c r="O16" s="2">
        <f t="shared" si="1"/>
        <v>640.5</v>
      </c>
      <c r="U16" s="6">
        <v>45292</v>
      </c>
      <c r="V16" s="7">
        <v>135.94999999999999</v>
      </c>
      <c r="W16" s="1">
        <v>0</v>
      </c>
      <c r="X16" s="2">
        <f t="shared" si="5"/>
        <v>-2.6146131805157635</v>
      </c>
      <c r="Y16" s="1">
        <f t="shared" si="2"/>
        <v>133.33538681948423</v>
      </c>
      <c r="AE16" s="6">
        <v>45292</v>
      </c>
      <c r="AF16" s="1">
        <v>441.55</v>
      </c>
      <c r="AG16" s="14">
        <v>0</v>
      </c>
      <c r="AH16" s="2">
        <f t="shared" si="6"/>
        <v>-4.4470893745942455</v>
      </c>
      <c r="AI16" s="1">
        <f t="shared" si="3"/>
        <v>437.10291062540574</v>
      </c>
    </row>
    <row r="17" spans="1:35" ht="15">
      <c r="A17" s="6">
        <v>45323</v>
      </c>
      <c r="B17" s="7">
        <v>301.92</v>
      </c>
      <c r="C17" s="1">
        <v>0</v>
      </c>
      <c r="D17" s="2">
        <f t="shared" si="7"/>
        <v>20.200652918225977</v>
      </c>
      <c r="E17" s="2">
        <f t="shared" si="0"/>
        <v>301.92</v>
      </c>
      <c r="K17" s="6">
        <v>45323</v>
      </c>
      <c r="L17" s="7">
        <v>748.1</v>
      </c>
      <c r="M17" s="1">
        <v>0</v>
      </c>
      <c r="N17" s="2">
        <f t="shared" si="4"/>
        <v>16.799375487900083</v>
      </c>
      <c r="O17" s="2">
        <f t="shared" si="1"/>
        <v>748.1</v>
      </c>
      <c r="U17" s="6">
        <v>45323</v>
      </c>
      <c r="V17" s="7">
        <v>140.85</v>
      </c>
      <c r="W17" s="1">
        <v>0</v>
      </c>
      <c r="X17" s="2">
        <f t="shared" si="5"/>
        <v>3.60426627436558</v>
      </c>
      <c r="Y17" s="1">
        <f t="shared" si="2"/>
        <v>144.45426627436558</v>
      </c>
      <c r="AE17" s="6">
        <v>45323</v>
      </c>
      <c r="AF17" s="1">
        <v>406.3</v>
      </c>
      <c r="AG17" s="17">
        <v>6.25</v>
      </c>
      <c r="AH17" s="2">
        <f t="shared" si="6"/>
        <v>-6.5677726191824259</v>
      </c>
      <c r="AI17" s="1">
        <f t="shared" si="3"/>
        <v>399.73222738081756</v>
      </c>
    </row>
    <row r="18" spans="1:35" ht="15">
      <c r="A18" s="6">
        <v>45352</v>
      </c>
      <c r="B18" s="7">
        <v>301.2</v>
      </c>
      <c r="C18" s="1">
        <v>0</v>
      </c>
      <c r="D18" s="2">
        <f t="shared" si="7"/>
        <v>-0.23847376788554159</v>
      </c>
      <c r="E18" s="2">
        <f t="shared" si="0"/>
        <v>301.2</v>
      </c>
      <c r="K18" s="6">
        <v>45352</v>
      </c>
      <c r="L18" s="7">
        <v>752.35</v>
      </c>
      <c r="M18" s="1">
        <v>0</v>
      </c>
      <c r="N18" s="2">
        <f t="shared" si="4"/>
        <v>0.56810586819943854</v>
      </c>
      <c r="O18" s="2">
        <f t="shared" si="1"/>
        <v>752.35</v>
      </c>
      <c r="U18" s="6">
        <v>45352</v>
      </c>
      <c r="V18" s="7">
        <v>155.85</v>
      </c>
      <c r="W18" s="1">
        <v>0</v>
      </c>
      <c r="X18" s="2">
        <f t="shared" si="5"/>
        <v>10.649627263045794</v>
      </c>
      <c r="Y18" s="1">
        <f t="shared" si="2"/>
        <v>166.4996272630458</v>
      </c>
      <c r="AE18" s="6">
        <v>45352</v>
      </c>
      <c r="AF18" s="1">
        <v>428.35</v>
      </c>
      <c r="AG18" s="18">
        <v>0</v>
      </c>
      <c r="AH18" s="2">
        <f t="shared" si="6"/>
        <v>5.4270243662318505</v>
      </c>
      <c r="AI18" s="1">
        <f t="shared" si="3"/>
        <v>433.7770243662319</v>
      </c>
    </row>
    <row r="19" spans="1:35" ht="15">
      <c r="A19" s="6">
        <v>45383</v>
      </c>
      <c r="B19" s="7">
        <v>303.67</v>
      </c>
      <c r="C19" s="1">
        <v>0</v>
      </c>
      <c r="D19" s="2">
        <f t="shared" si="7"/>
        <v>0.82005312084994264</v>
      </c>
      <c r="E19" s="2">
        <f t="shared" si="0"/>
        <v>303.67</v>
      </c>
      <c r="K19" s="6">
        <v>45383</v>
      </c>
      <c r="L19" s="7">
        <v>826.25</v>
      </c>
      <c r="M19" s="1">
        <v>0</v>
      </c>
      <c r="N19" s="2">
        <f t="shared" si="4"/>
        <v>9.8225559912274836</v>
      </c>
      <c r="O19" s="2">
        <f t="shared" si="1"/>
        <v>826.25</v>
      </c>
      <c r="U19" s="6">
        <v>45383</v>
      </c>
      <c r="V19" s="7">
        <v>165</v>
      </c>
      <c r="W19" s="1">
        <v>0</v>
      </c>
      <c r="X19" s="2">
        <f t="shared" si="5"/>
        <v>5.8710298363811395</v>
      </c>
      <c r="Y19" s="1">
        <f t="shared" si="2"/>
        <v>170.87102983638113</v>
      </c>
      <c r="AE19" s="6">
        <v>45383</v>
      </c>
      <c r="AF19" s="1">
        <v>435.65</v>
      </c>
      <c r="AG19" s="14">
        <v>0</v>
      </c>
      <c r="AH19" s="2">
        <f t="shared" si="6"/>
        <v>1.704213843819296</v>
      </c>
      <c r="AI19" s="1">
        <f t="shared" si="3"/>
        <v>437.35421384381925</v>
      </c>
    </row>
    <row r="20" spans="1:35" ht="15">
      <c r="A20" s="6">
        <v>45413</v>
      </c>
      <c r="B20" s="7">
        <v>313.89999999999998</v>
      </c>
      <c r="C20" s="1">
        <v>0</v>
      </c>
      <c r="D20" s="2">
        <f t="shared" si="7"/>
        <v>3.3687884875028682</v>
      </c>
      <c r="E20" s="2">
        <f t="shared" si="0"/>
        <v>313.89999999999998</v>
      </c>
      <c r="K20" s="6">
        <v>45413</v>
      </c>
      <c r="L20" s="7">
        <v>830.35</v>
      </c>
      <c r="M20" s="1">
        <v>13.7</v>
      </c>
      <c r="N20" s="2">
        <f t="shared" si="4"/>
        <v>2.1543116490166438</v>
      </c>
      <c r="O20" s="2">
        <f t="shared" si="1"/>
        <v>844.05000000000007</v>
      </c>
      <c r="U20" s="6">
        <v>45413</v>
      </c>
      <c r="V20" s="7">
        <v>167.2</v>
      </c>
      <c r="W20" s="1">
        <v>0</v>
      </c>
      <c r="X20" s="2">
        <f t="shared" si="5"/>
        <v>1.3333333333333264</v>
      </c>
      <c r="Y20" s="1">
        <f t="shared" si="2"/>
        <v>168.5333333333333</v>
      </c>
      <c r="AE20" s="6">
        <v>45413</v>
      </c>
      <c r="AF20" s="1">
        <v>426.45</v>
      </c>
      <c r="AG20" s="14">
        <v>0</v>
      </c>
      <c r="AH20" s="2">
        <f t="shared" si="6"/>
        <v>-2.1117869849649926</v>
      </c>
      <c r="AI20" s="1">
        <f t="shared" si="3"/>
        <v>424.33821301503502</v>
      </c>
    </row>
    <row r="21" spans="1:35" ht="15">
      <c r="A21" s="6">
        <v>45444</v>
      </c>
      <c r="B21" s="7">
        <v>303.95</v>
      </c>
      <c r="C21" s="1">
        <v>0</v>
      </c>
      <c r="D21" s="2">
        <f t="shared" si="7"/>
        <v>-3.16979929913985</v>
      </c>
      <c r="E21" s="2">
        <f t="shared" si="0"/>
        <v>303.95</v>
      </c>
      <c r="K21" s="6">
        <v>45444</v>
      </c>
      <c r="L21" s="7">
        <v>848.95</v>
      </c>
      <c r="M21" s="1">
        <v>0</v>
      </c>
      <c r="N21" s="2">
        <f t="shared" si="4"/>
        <v>2.2400192689829614</v>
      </c>
      <c r="O21" s="2">
        <f t="shared" si="1"/>
        <v>848.95</v>
      </c>
      <c r="U21" s="6">
        <v>45444</v>
      </c>
      <c r="V21" s="7">
        <v>174.01</v>
      </c>
      <c r="W21" s="1">
        <v>3.6</v>
      </c>
      <c r="X21" s="2">
        <f t="shared" si="5"/>
        <v>6.2260765550239254</v>
      </c>
      <c r="Y21" s="1">
        <f t="shared" si="2"/>
        <v>180.23607655502391</v>
      </c>
      <c r="AE21" s="6">
        <v>45444</v>
      </c>
      <c r="AF21" s="1">
        <v>424.9</v>
      </c>
      <c r="AG21" s="14">
        <v>0</v>
      </c>
      <c r="AH21" s="2">
        <f t="shared" si="6"/>
        <v>-0.36346582248798487</v>
      </c>
      <c r="AI21" s="1">
        <f t="shared" si="3"/>
        <v>424.53653417751201</v>
      </c>
    </row>
    <row r="22" spans="1:35" ht="15">
      <c r="A22" s="6">
        <v>45474</v>
      </c>
      <c r="B22" s="7">
        <v>350.05</v>
      </c>
      <c r="C22" s="1">
        <v>0</v>
      </c>
      <c r="D22" s="2">
        <f t="shared" si="7"/>
        <v>15.166968251357138</v>
      </c>
      <c r="E22" s="2">
        <f t="shared" si="0"/>
        <v>350.05</v>
      </c>
      <c r="K22" s="6">
        <v>45474</v>
      </c>
      <c r="L22" s="7">
        <v>872.4</v>
      </c>
      <c r="M22" s="1">
        <v>0</v>
      </c>
      <c r="N22" s="2">
        <f t="shared" si="4"/>
        <v>2.7622357029271369</v>
      </c>
      <c r="O22" s="2">
        <f t="shared" si="1"/>
        <v>872.4</v>
      </c>
      <c r="U22" s="6">
        <v>45474</v>
      </c>
      <c r="V22" s="7">
        <v>165.33</v>
      </c>
      <c r="W22" s="1">
        <v>0</v>
      </c>
      <c r="X22" s="2">
        <f t="shared" si="5"/>
        <v>-4.9882190678696503</v>
      </c>
      <c r="Y22" s="1">
        <f t="shared" si="2"/>
        <v>160.34178093213035</v>
      </c>
      <c r="AE22" s="6">
        <v>45474</v>
      </c>
      <c r="AF22" s="1">
        <v>495.35</v>
      </c>
      <c r="AG22" s="14">
        <v>0</v>
      </c>
      <c r="AH22" s="2">
        <f t="shared" si="6"/>
        <v>16.580371852200528</v>
      </c>
      <c r="AI22" s="1">
        <f t="shared" si="3"/>
        <v>511.93037185220055</v>
      </c>
    </row>
    <row r="23" spans="1:35" ht="15">
      <c r="A23" s="6">
        <v>45505</v>
      </c>
      <c r="B23" s="7">
        <v>357.65</v>
      </c>
      <c r="C23" s="1">
        <v>10.5</v>
      </c>
      <c r="D23" s="2">
        <f t="shared" si="7"/>
        <v>5.1706899014426408</v>
      </c>
      <c r="E23" s="2">
        <f t="shared" si="0"/>
        <v>368.15</v>
      </c>
      <c r="K23" s="6">
        <v>45505</v>
      </c>
      <c r="L23" s="7">
        <v>815.6</v>
      </c>
      <c r="M23" s="1">
        <v>0</v>
      </c>
      <c r="N23" s="2">
        <f>((M23+(L23-L22))/L22)*100</f>
        <v>-6.5107748739110445</v>
      </c>
      <c r="O23" s="2">
        <f t="shared" si="1"/>
        <v>815.6</v>
      </c>
      <c r="U23" s="6">
        <v>45505</v>
      </c>
      <c r="V23" s="7">
        <v>152.76</v>
      </c>
      <c r="W23" s="1">
        <v>0</v>
      </c>
      <c r="X23" s="2">
        <f t="shared" si="5"/>
        <v>-7.6029758664489329</v>
      </c>
      <c r="Y23" s="1">
        <f t="shared" si="2"/>
        <v>145.15702413355106</v>
      </c>
      <c r="AE23" s="6">
        <v>45505</v>
      </c>
      <c r="AF23" s="1">
        <v>501.9</v>
      </c>
      <c r="AG23" s="17">
        <v>7.5</v>
      </c>
      <c r="AH23" s="2">
        <f t="shared" si="6"/>
        <v>2.8363783183607456</v>
      </c>
      <c r="AI23" s="1">
        <f t="shared" si="3"/>
        <v>504.73637831836072</v>
      </c>
    </row>
    <row r="24" spans="1:35" ht="15">
      <c r="A24" s="6">
        <v>45536</v>
      </c>
      <c r="B24" s="7">
        <v>369.95</v>
      </c>
      <c r="C24" s="1">
        <v>0</v>
      </c>
      <c r="D24" s="2">
        <f t="shared" si="7"/>
        <v>3.4391164546344228</v>
      </c>
      <c r="E24" s="2">
        <f t="shared" si="0"/>
        <v>369.95</v>
      </c>
      <c r="K24" s="6">
        <v>45536</v>
      </c>
      <c r="L24" s="7">
        <v>787.9</v>
      </c>
      <c r="M24" s="1">
        <v>0</v>
      </c>
      <c r="N24" s="2">
        <f t="shared" si="4"/>
        <v>-3.3962726826875977</v>
      </c>
      <c r="O24" s="2">
        <f t="shared" si="1"/>
        <v>787.9</v>
      </c>
      <c r="U24" s="6">
        <v>45536</v>
      </c>
      <c r="V24" s="7">
        <v>168.55</v>
      </c>
      <c r="W24" s="1">
        <v>0</v>
      </c>
      <c r="X24" s="2">
        <f t="shared" si="5"/>
        <v>10.336475517151101</v>
      </c>
      <c r="Y24" s="1">
        <f t="shared" si="2"/>
        <v>178.8864755171511</v>
      </c>
      <c r="AE24" s="6">
        <v>45536</v>
      </c>
      <c r="AF24" s="1">
        <v>518.15</v>
      </c>
      <c r="AG24" s="16">
        <v>0</v>
      </c>
      <c r="AH24" s="2">
        <f t="shared" si="6"/>
        <v>3.2376967523411038</v>
      </c>
      <c r="AI24" s="1">
        <f t="shared" si="3"/>
        <v>521.38769675234107</v>
      </c>
    </row>
    <row r="25" spans="1:35" ht="15">
      <c r="A25" s="6">
        <v>45566</v>
      </c>
      <c r="B25" s="7">
        <v>310.75</v>
      </c>
      <c r="C25" s="1">
        <v>0</v>
      </c>
      <c r="D25" s="2">
        <f t="shared" si="7"/>
        <v>-16.002162454385726</v>
      </c>
      <c r="E25" s="2">
        <f t="shared" si="0"/>
        <v>310.75</v>
      </c>
      <c r="K25" s="6">
        <v>45566</v>
      </c>
      <c r="L25" s="7">
        <v>820.2</v>
      </c>
      <c r="M25" s="1">
        <v>0</v>
      </c>
      <c r="N25" s="2">
        <f t="shared" si="4"/>
        <v>4.0995050133265734</v>
      </c>
      <c r="O25" s="2">
        <f t="shared" si="1"/>
        <v>820.2</v>
      </c>
      <c r="U25" s="6">
        <v>45566</v>
      </c>
      <c r="V25" s="7">
        <v>148.56</v>
      </c>
      <c r="W25" s="1">
        <v>0</v>
      </c>
      <c r="X25" s="2">
        <f t="shared" si="5"/>
        <v>-11.859982201127266</v>
      </c>
      <c r="Y25" s="1">
        <f t="shared" si="2"/>
        <v>136.70001779887275</v>
      </c>
      <c r="AE25" s="6">
        <v>45566</v>
      </c>
      <c r="AF25" s="1">
        <v>462.41</v>
      </c>
      <c r="AG25" s="14">
        <v>0</v>
      </c>
      <c r="AH25" s="2">
        <f t="shared" si="6"/>
        <v>-10.757502653671708</v>
      </c>
      <c r="AI25" s="1">
        <f t="shared" si="3"/>
        <v>451.65249734632835</v>
      </c>
    </row>
    <row r="26" spans="1:35" ht="15">
      <c r="A26" s="6">
        <v>45597</v>
      </c>
      <c r="B26" s="7">
        <v>292.10000000000002</v>
      </c>
      <c r="C26" s="1">
        <v>0</v>
      </c>
      <c r="D26" s="2">
        <f t="shared" si="7"/>
        <v>-6.0016090104585604</v>
      </c>
      <c r="E26" s="2">
        <f t="shared" si="0"/>
        <v>292.10000000000002</v>
      </c>
      <c r="K26" s="6">
        <v>45597</v>
      </c>
      <c r="L26" s="7">
        <v>838.95</v>
      </c>
      <c r="M26" s="1">
        <v>0</v>
      </c>
      <c r="N26" s="2">
        <f t="shared" si="4"/>
        <v>2.2860277980980248</v>
      </c>
      <c r="O26" s="2">
        <f t="shared" si="1"/>
        <v>838.95</v>
      </c>
      <c r="U26" s="6">
        <v>45597</v>
      </c>
      <c r="V26" s="7">
        <v>144.54</v>
      </c>
      <c r="W26" s="1">
        <v>0</v>
      </c>
      <c r="X26" s="2">
        <f t="shared" si="5"/>
        <v>-2.7059773828756124</v>
      </c>
      <c r="Y26" s="1">
        <f t="shared" si="2"/>
        <v>141.83402261712439</v>
      </c>
      <c r="AE26" s="6">
        <v>45597</v>
      </c>
      <c r="AF26" s="1">
        <v>451.01</v>
      </c>
      <c r="AG26" s="14">
        <v>0</v>
      </c>
      <c r="AH26" s="2">
        <f t="shared" si="6"/>
        <v>-2.4653446075993237</v>
      </c>
      <c r="AI26" s="1">
        <f t="shared" si="3"/>
        <v>448.54465539240067</v>
      </c>
    </row>
    <row r="27" spans="1:35" ht="15">
      <c r="A27" s="6">
        <v>45627</v>
      </c>
      <c r="B27" s="7">
        <v>292.45</v>
      </c>
      <c r="C27" s="1">
        <v>0</v>
      </c>
      <c r="D27" s="2">
        <f t="shared" si="7"/>
        <v>0.11982197877438065</v>
      </c>
      <c r="E27" s="2">
        <f t="shared" si="0"/>
        <v>292.45</v>
      </c>
      <c r="K27" s="6">
        <v>45627</v>
      </c>
      <c r="L27" s="7">
        <v>794.95</v>
      </c>
      <c r="M27" s="1">
        <v>0</v>
      </c>
      <c r="N27" s="2">
        <f t="shared" si="4"/>
        <v>-5.2446510519101253</v>
      </c>
      <c r="O27" s="2">
        <f t="shared" si="1"/>
        <v>794.95</v>
      </c>
      <c r="U27" s="6">
        <v>45627</v>
      </c>
      <c r="V27" s="7">
        <v>138.05000000000001</v>
      </c>
      <c r="W27" s="1">
        <v>0</v>
      </c>
      <c r="X27" s="2">
        <f t="shared" si="5"/>
        <v>-4.4901065449010522</v>
      </c>
      <c r="Y27" s="1">
        <f t="shared" si="2"/>
        <v>133.55989345509897</v>
      </c>
      <c r="AE27" s="6">
        <v>45627</v>
      </c>
      <c r="AF27" s="1">
        <v>457.54</v>
      </c>
      <c r="AG27" s="14">
        <v>0</v>
      </c>
      <c r="AH27" s="2">
        <f t="shared" si="6"/>
        <v>1.4478614664863374</v>
      </c>
      <c r="AI27" s="1">
        <f t="shared" si="3"/>
        <v>458.98786146648638</v>
      </c>
    </row>
    <row r="28" spans="1:35" ht="15">
      <c r="A28" s="6">
        <v>45658</v>
      </c>
      <c r="B28" s="7">
        <v>261.10000000000002</v>
      </c>
      <c r="C28" s="1">
        <v>5</v>
      </c>
      <c r="D28" s="2">
        <f t="shared" si="7"/>
        <v>-9.0100871943921934</v>
      </c>
      <c r="E28" s="2">
        <f t="shared" si="0"/>
        <v>266.10000000000002</v>
      </c>
      <c r="K28" s="6">
        <v>45658</v>
      </c>
      <c r="L28" s="7">
        <v>772.9</v>
      </c>
      <c r="M28" s="1">
        <v>0</v>
      </c>
      <c r="N28" s="2">
        <f t="shared" si="4"/>
        <v>-2.7737593559343439</v>
      </c>
      <c r="O28" s="2">
        <f t="shared" si="1"/>
        <v>772.9</v>
      </c>
      <c r="U28" s="6">
        <v>45658</v>
      </c>
      <c r="V28" s="7">
        <v>134.62</v>
      </c>
      <c r="W28" s="1">
        <v>0</v>
      </c>
      <c r="X28" s="2">
        <f t="shared" si="5"/>
        <v>-2.4846070264397007</v>
      </c>
      <c r="Y28" s="1">
        <f t="shared" si="2"/>
        <v>132.1353929735603</v>
      </c>
      <c r="AE28" s="6">
        <v>45658</v>
      </c>
      <c r="AF28" s="1">
        <v>447.5</v>
      </c>
      <c r="AG28" s="17">
        <v>18</v>
      </c>
      <c r="AH28" s="2">
        <f t="shared" si="6"/>
        <v>1.7397386020894301</v>
      </c>
      <c r="AI28" s="1">
        <f t="shared" si="3"/>
        <v>449.2397386020894</v>
      </c>
    </row>
    <row r="29" spans="1:35" ht="15">
      <c r="A29" s="6">
        <v>45689</v>
      </c>
      <c r="B29" s="7">
        <v>237.3</v>
      </c>
      <c r="C29" s="1">
        <v>0</v>
      </c>
      <c r="D29" s="2">
        <f t="shared" si="7"/>
        <v>-9.1152815013404851</v>
      </c>
      <c r="E29" s="2">
        <f t="shared" si="0"/>
        <v>237.3</v>
      </c>
      <c r="K29" s="6">
        <v>45689</v>
      </c>
      <c r="L29" s="7">
        <v>688.8</v>
      </c>
      <c r="M29" s="1">
        <v>0</v>
      </c>
      <c r="N29" s="2">
        <f t="shared" si="4"/>
        <v>-10.881097166515723</v>
      </c>
      <c r="O29" s="2">
        <f t="shared" si="1"/>
        <v>688.8</v>
      </c>
      <c r="U29" s="6">
        <v>45689</v>
      </c>
      <c r="V29" s="7">
        <v>137.19999999999999</v>
      </c>
      <c r="W29" s="1">
        <v>0</v>
      </c>
      <c r="X29" s="2">
        <f t="shared" si="5"/>
        <v>1.9165057198038806</v>
      </c>
      <c r="Y29" s="1">
        <f t="shared" si="2"/>
        <v>139.11650571980388</v>
      </c>
      <c r="AE29" s="6">
        <v>45689</v>
      </c>
      <c r="AF29" s="1">
        <v>395</v>
      </c>
      <c r="AG29" s="16">
        <v>0</v>
      </c>
      <c r="AH29" s="2">
        <f t="shared" si="6"/>
        <v>-11.731843575418994</v>
      </c>
      <c r="AI29" s="1">
        <f t="shared" si="3"/>
        <v>383.26815642458098</v>
      </c>
    </row>
    <row r="30" spans="1:35" ht="15">
      <c r="A30" s="6">
        <v>45717</v>
      </c>
      <c r="B30" s="7">
        <v>278.47000000000003</v>
      </c>
      <c r="C30" s="1">
        <v>0</v>
      </c>
      <c r="D30" s="2">
        <f t="shared" si="7"/>
        <v>17.349346818373373</v>
      </c>
      <c r="E30" s="2">
        <f t="shared" si="0"/>
        <v>278.47000000000003</v>
      </c>
      <c r="K30" s="6">
        <v>45717</v>
      </c>
      <c r="L30" s="7">
        <v>771.5</v>
      </c>
      <c r="M30" s="1">
        <v>0</v>
      </c>
      <c r="N30" s="2">
        <f t="shared" si="4"/>
        <v>12.006387921022075</v>
      </c>
      <c r="O30" s="2">
        <f t="shared" si="1"/>
        <v>771.5</v>
      </c>
      <c r="U30" s="6">
        <v>45717</v>
      </c>
      <c r="V30" s="7">
        <v>154.24</v>
      </c>
      <c r="W30" s="1">
        <v>0</v>
      </c>
      <c r="X30" s="2">
        <f t="shared" si="5"/>
        <v>12.419825072886313</v>
      </c>
      <c r="Y30" s="1">
        <f t="shared" si="2"/>
        <v>166.65982507288632</v>
      </c>
      <c r="AE30" s="6">
        <v>45717</v>
      </c>
      <c r="AF30" s="1">
        <v>409.75</v>
      </c>
      <c r="AG30" s="17">
        <v>6.5</v>
      </c>
      <c r="AH30" s="2">
        <f t="shared" si="6"/>
        <v>5.3797468354430382</v>
      </c>
      <c r="AI30" s="1">
        <f t="shared" si="3"/>
        <v>415.12974683544303</v>
      </c>
    </row>
    <row r="31" spans="1:35" ht="15">
      <c r="A31" s="6">
        <v>45748</v>
      </c>
      <c r="B31" s="7">
        <v>310.05</v>
      </c>
      <c r="C31" s="1">
        <v>0</v>
      </c>
      <c r="D31" s="2">
        <f t="shared" si="7"/>
        <v>11.340539375875313</v>
      </c>
      <c r="E31" s="2">
        <f t="shared" si="0"/>
        <v>310.05</v>
      </c>
      <c r="K31" s="6">
        <v>45748</v>
      </c>
      <c r="L31" s="7">
        <v>788.65</v>
      </c>
      <c r="M31" s="1">
        <v>0</v>
      </c>
      <c r="N31" s="2">
        <f t="shared" si="4"/>
        <v>2.2229423201555383</v>
      </c>
      <c r="O31" s="2">
        <f t="shared" si="1"/>
        <v>788.65</v>
      </c>
      <c r="U31" s="6">
        <v>45748</v>
      </c>
      <c r="V31" s="7">
        <v>140.08000000000001</v>
      </c>
      <c r="W31" s="1">
        <v>0</v>
      </c>
      <c r="X31" s="2">
        <f t="shared" si="5"/>
        <v>-9.1804979253112009</v>
      </c>
      <c r="Y31" s="1">
        <f t="shared" si="2"/>
        <v>130.89950207468883</v>
      </c>
      <c r="AE31" s="6">
        <v>45748</v>
      </c>
      <c r="AF31" s="1">
        <v>425.8</v>
      </c>
      <c r="AG31" s="16">
        <v>0</v>
      </c>
      <c r="AH31" s="2">
        <f t="shared" si="6"/>
        <v>3.9170225747406988</v>
      </c>
      <c r="AI31" s="1">
        <f t="shared" si="3"/>
        <v>429.71702257474072</v>
      </c>
    </row>
    <row r="32" spans="1:35" ht="15">
      <c r="A32" s="6">
        <v>45778</v>
      </c>
      <c r="B32" s="7">
        <v>318.39999999999998</v>
      </c>
      <c r="C32" s="1">
        <v>0</v>
      </c>
      <c r="D32" s="2">
        <f t="shared" si="7"/>
        <v>2.6931140138687195</v>
      </c>
      <c r="E32" s="2">
        <f t="shared" si="0"/>
        <v>318.39999999999998</v>
      </c>
      <c r="K32" s="6">
        <v>45778</v>
      </c>
      <c r="L32" s="7">
        <v>812.3</v>
      </c>
      <c r="M32" s="1">
        <v>15.9</v>
      </c>
      <c r="N32" s="2">
        <f t="shared" si="4"/>
        <v>5.0148988778291992</v>
      </c>
      <c r="O32" s="2">
        <f t="shared" si="1"/>
        <v>828.19999999999993</v>
      </c>
      <c r="U32" s="6">
        <v>45778</v>
      </c>
      <c r="V32" s="7">
        <v>161.02000000000001</v>
      </c>
      <c r="W32" s="1">
        <v>0</v>
      </c>
      <c r="X32" s="2">
        <f t="shared" si="5"/>
        <v>14.948600799543115</v>
      </c>
      <c r="Y32" s="1">
        <f t="shared" si="2"/>
        <v>175.96860079954314</v>
      </c>
      <c r="AE32" s="6">
        <v>45778</v>
      </c>
      <c r="AF32" s="1">
        <v>418.05</v>
      </c>
      <c r="AG32" s="14">
        <v>0</v>
      </c>
      <c r="AH32" s="2">
        <f t="shared" si="6"/>
        <v>-1.8201033348990137</v>
      </c>
      <c r="AI32" s="1">
        <f t="shared" si="3"/>
        <v>416.22989666510102</v>
      </c>
    </row>
    <row r="33" spans="1:38" ht="15">
      <c r="A33" s="6">
        <v>45809</v>
      </c>
      <c r="B33" s="7">
        <v>331.95</v>
      </c>
      <c r="C33" s="1">
        <v>0</v>
      </c>
      <c r="D33" s="2">
        <f t="shared" si="7"/>
        <v>4.2556532663316622</v>
      </c>
      <c r="E33" s="2">
        <f t="shared" si="0"/>
        <v>331.95</v>
      </c>
      <c r="K33" s="6">
        <v>45809</v>
      </c>
      <c r="L33" s="7">
        <v>820.35</v>
      </c>
      <c r="M33" s="1">
        <v>0</v>
      </c>
      <c r="N33" s="2">
        <f t="shared" si="4"/>
        <v>0.99101317247323273</v>
      </c>
      <c r="O33" s="2">
        <f t="shared" si="1"/>
        <v>820.35</v>
      </c>
      <c r="U33" s="6">
        <v>45809</v>
      </c>
      <c r="V33" s="7">
        <v>159.76</v>
      </c>
      <c r="W33" s="1">
        <v>3.6</v>
      </c>
      <c r="X33" s="2">
        <f t="shared" si="5"/>
        <v>1.4532356229039751</v>
      </c>
      <c r="Y33" s="1">
        <f t="shared" si="2"/>
        <v>161.21323562290397</v>
      </c>
      <c r="AE33" s="6">
        <v>45809</v>
      </c>
      <c r="AF33" s="1">
        <v>416.45</v>
      </c>
      <c r="AG33" s="14">
        <v>0</v>
      </c>
      <c r="AH33" s="2">
        <f t="shared" si="6"/>
        <v>-0.38272933859586716</v>
      </c>
      <c r="AI33" s="1">
        <f t="shared" si="3"/>
        <v>416.06727066140411</v>
      </c>
    </row>
    <row r="34" spans="1:38" ht="15">
      <c r="A34" s="6">
        <v>45839</v>
      </c>
      <c r="B34" s="7">
        <v>329.3</v>
      </c>
      <c r="C34" s="1">
        <v>5</v>
      </c>
      <c r="D34" s="2">
        <f t="shared" si="7"/>
        <v>0.70793794246122088</v>
      </c>
      <c r="E34" s="2">
        <f t="shared" si="0"/>
        <v>334.3</v>
      </c>
      <c r="K34" s="6">
        <v>45839</v>
      </c>
      <c r="L34" s="7">
        <v>796.55</v>
      </c>
      <c r="M34" s="1">
        <v>0</v>
      </c>
      <c r="N34" s="2">
        <f t="shared" si="4"/>
        <v>-2.9012007070153065</v>
      </c>
      <c r="O34" s="2">
        <f t="shared" si="1"/>
        <v>796.55</v>
      </c>
      <c r="U34" s="6">
        <v>45839</v>
      </c>
      <c r="V34" s="7">
        <v>157.94</v>
      </c>
      <c r="W34" s="1">
        <v>0</v>
      </c>
      <c r="X34" s="2">
        <f t="shared" si="5"/>
        <v>-1.1392088132198255</v>
      </c>
      <c r="Y34" s="1">
        <f t="shared" si="2"/>
        <v>156.80079118678017</v>
      </c>
      <c r="AE34" s="6">
        <v>45839</v>
      </c>
      <c r="AF34" s="1">
        <v>411.95</v>
      </c>
      <c r="AG34" s="17">
        <v>7.85</v>
      </c>
      <c r="AH34" s="2">
        <f t="shared" si="6"/>
        <v>0.80441829751470761</v>
      </c>
      <c r="AI34" s="1">
        <f t="shared" si="3"/>
        <v>412.75441829751469</v>
      </c>
    </row>
    <row r="35" spans="1:38" ht="15">
      <c r="A35" s="6">
        <v>45870</v>
      </c>
      <c r="B35" s="7">
        <v>308.2</v>
      </c>
      <c r="C35" s="1">
        <v>0</v>
      </c>
      <c r="D35" s="2">
        <f t="shared" si="7"/>
        <v>-6.4075311266322572</v>
      </c>
      <c r="E35" s="2">
        <f t="shared" si="0"/>
        <v>308.2</v>
      </c>
      <c r="K35" s="6">
        <v>45870</v>
      </c>
      <c r="L35" s="7">
        <v>802.5</v>
      </c>
      <c r="M35" s="2">
        <v>0</v>
      </c>
      <c r="N35" s="2">
        <f t="shared" si="4"/>
        <v>0.74697131379072823</v>
      </c>
      <c r="O35" s="2">
        <f t="shared" si="1"/>
        <v>802.5</v>
      </c>
      <c r="U35" s="6">
        <v>45870</v>
      </c>
      <c r="V35" s="7">
        <v>154.47999999999999</v>
      </c>
      <c r="W35" s="1">
        <v>0</v>
      </c>
      <c r="X35" s="2">
        <f t="shared" si="5"/>
        <v>-2.1907053311384117</v>
      </c>
      <c r="Y35" s="1">
        <f t="shared" si="2"/>
        <v>152.28929466886157</v>
      </c>
      <c r="AE35" s="6">
        <v>45870</v>
      </c>
      <c r="AF35" s="1">
        <v>409.75</v>
      </c>
      <c r="AG35" s="16">
        <v>0</v>
      </c>
      <c r="AH35" s="2">
        <f t="shared" si="6"/>
        <v>-0.53404539385847527</v>
      </c>
      <c r="AI35" s="1">
        <f t="shared" si="3"/>
        <v>409.21595460614151</v>
      </c>
    </row>
    <row r="36" spans="1:38" ht="15">
      <c r="A36" s="6">
        <v>45901</v>
      </c>
      <c r="B36" s="7">
        <v>339.65</v>
      </c>
      <c r="C36" s="1">
        <v>0</v>
      </c>
      <c r="D36" s="2">
        <f t="shared" si="7"/>
        <v>10.204412719013623</v>
      </c>
      <c r="E36" s="2">
        <f t="shared" si="0"/>
        <v>339.65</v>
      </c>
      <c r="K36" s="6">
        <v>45901</v>
      </c>
      <c r="L36" s="7">
        <v>872.45</v>
      </c>
      <c r="M36" s="2">
        <v>0</v>
      </c>
      <c r="N36" s="2">
        <f t="shared" si="4"/>
        <v>8.716510903426796</v>
      </c>
      <c r="O36" s="2">
        <f t="shared" si="1"/>
        <v>872.45</v>
      </c>
      <c r="U36" s="6">
        <v>45901</v>
      </c>
      <c r="V36" s="7">
        <v>168.77</v>
      </c>
      <c r="W36" s="1">
        <v>0</v>
      </c>
      <c r="X36" s="2">
        <f t="shared" si="5"/>
        <v>9.2503883997928682</v>
      </c>
      <c r="Y36" s="1">
        <f t="shared" si="2"/>
        <v>178.02038839979286</v>
      </c>
      <c r="AE36" s="6">
        <v>45901</v>
      </c>
      <c r="AF36" s="1">
        <v>401.55</v>
      </c>
      <c r="AG36" s="14">
        <v>0</v>
      </c>
      <c r="AH36" s="2">
        <f t="shared" si="6"/>
        <v>-2.0012202562538106</v>
      </c>
      <c r="AI36" s="1">
        <f t="shared" si="3"/>
        <v>399.54877974374619</v>
      </c>
    </row>
    <row r="37" spans="1:38" ht="15">
      <c r="A37" s="6">
        <v>45931</v>
      </c>
      <c r="B37" s="7">
        <v>356.8</v>
      </c>
      <c r="C37" s="1">
        <v>0</v>
      </c>
      <c r="D37" s="2">
        <f t="shared" si="7"/>
        <v>5.0493154718092255</v>
      </c>
      <c r="E37" s="2">
        <f t="shared" si="0"/>
        <v>356.8</v>
      </c>
      <c r="K37" s="6">
        <v>45931</v>
      </c>
      <c r="L37" s="7">
        <v>937</v>
      </c>
      <c r="M37" s="2">
        <v>0</v>
      </c>
      <c r="N37" s="2">
        <f t="shared" si="4"/>
        <v>7.3987047968364887</v>
      </c>
      <c r="O37" s="2">
        <f t="shared" si="1"/>
        <v>937</v>
      </c>
      <c r="U37" s="6">
        <v>45931</v>
      </c>
      <c r="V37" s="7">
        <v>182.84</v>
      </c>
      <c r="W37" s="1">
        <v>0</v>
      </c>
      <c r="X37" s="2">
        <f t="shared" si="5"/>
        <v>8.336789713811692</v>
      </c>
      <c r="Y37" s="5">
        <f>SUM(V37,X37)</f>
        <v>191.1767897138117</v>
      </c>
      <c r="AE37" s="6">
        <v>45931</v>
      </c>
      <c r="AF37" s="1">
        <v>420.35</v>
      </c>
      <c r="AG37" s="14">
        <v>0</v>
      </c>
      <c r="AH37" s="2">
        <f t="shared" si="6"/>
        <v>4.6818578010210468</v>
      </c>
      <c r="AI37" s="1">
        <f t="shared" si="3"/>
        <v>425.03185780102109</v>
      </c>
    </row>
    <row r="38" spans="1:38" ht="15">
      <c r="A38" s="6">
        <v>45962</v>
      </c>
      <c r="B38" s="7">
        <v>359.1</v>
      </c>
      <c r="C38" s="1">
        <v>7.5</v>
      </c>
      <c r="D38" s="2">
        <f t="shared" si="7"/>
        <v>2.7466367713004516</v>
      </c>
      <c r="E38" s="2">
        <f t="shared" si="0"/>
        <v>366.6</v>
      </c>
      <c r="K38" s="6">
        <v>45962</v>
      </c>
      <c r="L38" s="7">
        <v>979</v>
      </c>
      <c r="M38" s="2">
        <v>0</v>
      </c>
      <c r="N38" s="2">
        <f t="shared" si="4"/>
        <v>4.4823906083244394</v>
      </c>
      <c r="O38" s="2">
        <f t="shared" si="1"/>
        <v>979</v>
      </c>
      <c r="U38" s="6">
        <v>45962</v>
      </c>
      <c r="V38" s="7">
        <v>167.96</v>
      </c>
      <c r="W38" s="1">
        <v>0</v>
      </c>
      <c r="X38" s="2">
        <f t="shared" si="5"/>
        <v>-8.1382629621526998</v>
      </c>
      <c r="Y38" s="1">
        <f t="shared" si="2"/>
        <v>159.8217370378473</v>
      </c>
      <c r="AE38" s="6">
        <v>45962</v>
      </c>
      <c r="AF38" s="1">
        <v>404.25</v>
      </c>
      <c r="AG38" s="14">
        <v>0</v>
      </c>
      <c r="AH38" s="2">
        <f t="shared" si="6"/>
        <v>-3.8301415487094141</v>
      </c>
      <c r="AI38" s="1">
        <f t="shared" si="3"/>
        <v>400.41985845129057</v>
      </c>
    </row>
    <row r="39" spans="1:38" ht="15">
      <c r="A39" s="6">
        <v>45992</v>
      </c>
      <c r="B39" s="7">
        <v>384</v>
      </c>
      <c r="C39" s="1">
        <v>0</v>
      </c>
      <c r="D39" s="2">
        <f t="shared" si="7"/>
        <v>6.9340016708437684</v>
      </c>
      <c r="E39" s="2">
        <f t="shared" si="0"/>
        <v>384</v>
      </c>
      <c r="F39" s="1">
        <f>(((E39/E4)^(1/3))-1)*100</f>
        <v>30.791445808619365</v>
      </c>
      <c r="G39" s="1">
        <f>_xlfn.STDEV.S(D4:D39)</f>
        <v>8.6006688878122155</v>
      </c>
      <c r="H39" s="1">
        <f>G39/D40</f>
        <v>2.8896382580776376</v>
      </c>
      <c r="K39" s="6">
        <v>45992</v>
      </c>
      <c r="L39" s="7">
        <v>982.2</v>
      </c>
      <c r="M39" s="2">
        <v>0</v>
      </c>
      <c r="N39" s="2">
        <f t="shared" si="4"/>
        <v>0.32686414708887085</v>
      </c>
      <c r="O39" s="2">
        <f t="shared" si="1"/>
        <v>982.2</v>
      </c>
      <c r="P39" s="1">
        <f>((O39/O4)^(1/3)-1)*100</f>
        <v>21.067461078216422</v>
      </c>
      <c r="Q39" s="1">
        <f>_xlfn.STDEV.S(N4:N39)</f>
        <v>6.301695013972572</v>
      </c>
      <c r="R39" s="1">
        <f>Q39/N40</f>
        <v>3.2320377449676827</v>
      </c>
      <c r="U39" s="6">
        <v>45992</v>
      </c>
      <c r="V39" s="7">
        <v>180.08</v>
      </c>
      <c r="W39" s="1">
        <v>0</v>
      </c>
      <c r="X39" s="2">
        <f t="shared" si="5"/>
        <v>7.2160038104310571</v>
      </c>
      <c r="Y39" s="1">
        <f t="shared" si="2"/>
        <v>187.29600381043107</v>
      </c>
      <c r="Z39" s="1">
        <f>((Y39/Y4)^(1/3)-1)*100</f>
        <v>16.09444872383774</v>
      </c>
      <c r="AA39" s="1">
        <f>_xlfn.STDEV.S(X4:X39)</f>
        <v>7.2287302144312715</v>
      </c>
      <c r="AB39" s="1">
        <f>AA39/X40</f>
        <v>4.5082648523423581</v>
      </c>
      <c r="AE39" s="6">
        <v>45992</v>
      </c>
      <c r="AF39" s="1">
        <v>403</v>
      </c>
      <c r="AG39" s="14">
        <v>0</v>
      </c>
      <c r="AH39" s="2">
        <f t="shared" si="6"/>
        <v>-0.30921459492888065</v>
      </c>
      <c r="AI39" s="1">
        <f t="shared" si="3"/>
        <v>402.6907854050711</v>
      </c>
      <c r="AJ39" s="1">
        <f>((AI39/AI4)^(1/3)-1)*100</f>
        <v>4.7665519048818217</v>
      </c>
      <c r="AK39" s="1">
        <f>_xlfn.STDEV.S(AH4:AH39)</f>
        <v>5.3512977636796117</v>
      </c>
      <c r="AL39" s="1">
        <f>AK39/AH40</f>
        <v>5.7973200477014819</v>
      </c>
    </row>
    <row r="40" spans="1:38" s="3" customFormat="1" ht="15">
      <c r="A40" s="45"/>
      <c r="B40" s="45"/>
      <c r="C40" s="45" t="s">
        <v>16</v>
      </c>
      <c r="D40" s="45">
        <f>AVERAGE(D4:D39)</f>
        <v>2.9763825502275503</v>
      </c>
      <c r="E40" s="45">
        <f>AVERAGE(E4:E39)</f>
        <v>272.14083333333332</v>
      </c>
      <c r="F40" s="45"/>
      <c r="G40" s="45"/>
      <c r="H40" s="45"/>
      <c r="I40" s="45"/>
      <c r="J40" s="45"/>
      <c r="K40" s="45"/>
      <c r="L40" s="45"/>
      <c r="M40" s="45" t="s">
        <v>16</v>
      </c>
      <c r="N40" s="45">
        <f>AVERAGE(N4:N39)</f>
        <v>1.9497591028398038</v>
      </c>
      <c r="O40" s="45">
        <f>AVERAGE(O4:O39)</f>
        <v>736.80833333333351</v>
      </c>
      <c r="P40" s="45"/>
      <c r="Q40" s="45"/>
      <c r="R40" s="45"/>
      <c r="S40" s="45"/>
      <c r="T40" s="45"/>
      <c r="U40" s="45"/>
      <c r="V40" s="45"/>
      <c r="W40" s="45" t="s">
        <v>16</v>
      </c>
      <c r="X40" s="45">
        <f>AVERAGE(X4:X39)</f>
        <v>1.603439560716013</v>
      </c>
      <c r="Y40" s="45">
        <f>AVERAGE(Y4:Y39)</f>
        <v>145.23510622738266</v>
      </c>
      <c r="Z40" s="45"/>
      <c r="AA40" s="45"/>
      <c r="AB40" s="45"/>
      <c r="AC40" s="45"/>
      <c r="AD40" s="45"/>
      <c r="AE40" s="45"/>
      <c r="AF40" s="45"/>
      <c r="AG40" s="45" t="s">
        <v>16</v>
      </c>
      <c r="AH40" s="45">
        <f>AVERAGE(AH4:AH39)</f>
        <v>0.9230640571243417</v>
      </c>
      <c r="AI40" s="45">
        <f>AVERAGE(AI4:AI39)</f>
        <v>431.89056405712444</v>
      </c>
      <c r="AJ40" s="45"/>
      <c r="AK40" s="1"/>
      <c r="AL40" s="1"/>
    </row>
    <row r="43" spans="1:38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6" spans="1:38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 spans="1:38" ht="14.45">
      <c r="E47" s="45"/>
      <c r="F47" s="45" t="s">
        <v>17</v>
      </c>
      <c r="G47" s="45" t="s">
        <v>18</v>
      </c>
      <c r="H47" s="45" t="s">
        <v>19</v>
      </c>
      <c r="K47" s="52" t="s">
        <v>20</v>
      </c>
      <c r="L47" s="52"/>
      <c r="M47" s="52" t="s">
        <v>21</v>
      </c>
      <c r="N47" s="52"/>
      <c r="O47" s="52"/>
      <c r="P47" s="10" t="s">
        <v>22</v>
      </c>
      <c r="Q47" s="46" t="s">
        <v>23</v>
      </c>
    </row>
    <row r="48" spans="1:38" ht="14.45">
      <c r="E48" s="45" t="s">
        <v>1</v>
      </c>
      <c r="F48" s="1">
        <v>2.9763825499999998</v>
      </c>
      <c r="G48" s="1">
        <v>8.6006688879999995</v>
      </c>
      <c r="H48" s="1">
        <v>2.8896382580000002</v>
      </c>
      <c r="K48" s="9" t="s">
        <v>1</v>
      </c>
      <c r="L48" s="9" t="s">
        <v>2</v>
      </c>
      <c r="M48" s="7"/>
      <c r="N48" s="7"/>
      <c r="O48" s="7"/>
      <c r="Q48" s="7"/>
    </row>
    <row r="49" spans="5:17" ht="14.45">
      <c r="E49" s="45" t="s">
        <v>2</v>
      </c>
      <c r="F49" s="1">
        <v>1.9497591030000001</v>
      </c>
      <c r="G49" s="1">
        <v>6.3016950139999999</v>
      </c>
      <c r="H49" s="1">
        <v>3.232037745</v>
      </c>
      <c r="K49" s="1">
        <v>0.5</v>
      </c>
      <c r="L49" s="1">
        <v>0.5</v>
      </c>
      <c r="M49" s="7"/>
      <c r="N49" s="7">
        <f>(K49*F48)+(L49*F49)</f>
        <v>2.4630708265000001</v>
      </c>
      <c r="O49" s="7"/>
      <c r="P49" s="1">
        <f>CORREL(D4:D39,N4:N39)</f>
        <v>0.46789412325348101</v>
      </c>
      <c r="Q49" s="7">
        <f>SQRT((K49^2*G48^2) + (L49^2*G49^2) + (2*K49*L49*G48*G49*P49))</f>
        <v>6.4109566004530922</v>
      </c>
    </row>
    <row r="50" spans="5:17" ht="15">
      <c r="E50" s="45" t="s">
        <v>24</v>
      </c>
      <c r="F50" s="1">
        <v>1.6034395610000001</v>
      </c>
      <c r="G50" s="1">
        <v>7.2287302139999996</v>
      </c>
      <c r="H50" s="1">
        <v>4.5082648499999998</v>
      </c>
    </row>
    <row r="51" spans="5:17" ht="15">
      <c r="E51" s="45" t="s">
        <v>25</v>
      </c>
      <c r="F51" s="8">
        <v>0.92306405700000005</v>
      </c>
      <c r="G51" s="1">
        <v>5.3512987000000001</v>
      </c>
      <c r="H51" s="1">
        <v>5.7973200479999996</v>
      </c>
      <c r="K51" s="45" t="s">
        <v>26</v>
      </c>
      <c r="L51" s="45" t="s">
        <v>27</v>
      </c>
    </row>
    <row r="52" spans="5:17" ht="15">
      <c r="K52" s="45">
        <v>0.1</v>
      </c>
      <c r="L52" s="45">
        <v>0.9</v>
      </c>
      <c r="N52" s="7">
        <f>(K52*F48)+(L52*F49)</f>
        <v>2.0524214477</v>
      </c>
      <c r="O52" s="45"/>
      <c r="Q52" s="1">
        <f>SQRT((K52^2*$G$48^2) + (L52^2*$G$49^2) + (2*K52*L52*$G$48*$G$49*$P$49))</f>
        <v>6.1213225729233374</v>
      </c>
    </row>
    <row r="53" spans="5:17" ht="15">
      <c r="K53" s="45">
        <v>0.2</v>
      </c>
      <c r="L53" s="4">
        <v>0.8</v>
      </c>
      <c r="N53" s="2">
        <f>(K53*F48)+(L53*F49)</f>
        <v>2.1550837924000001</v>
      </c>
      <c r="Q53" s="1">
        <f>SQRT((K53^2*$G$48^2) + (L53^2*$G$49^2) + (2*K53*L53*$G$48*$G$49*$P$49))</f>
        <v>6.0406212831361152</v>
      </c>
    </row>
    <row r="54" spans="5:17" ht="15">
      <c r="K54" s="45">
        <v>0.3</v>
      </c>
      <c r="L54" s="4">
        <v>0.7</v>
      </c>
      <c r="N54" s="2">
        <f>(K54*F48)+(L54*F49)</f>
        <v>2.2577461370999998</v>
      </c>
      <c r="Q54" s="1">
        <f>SQRT((K54^2*$G$48^2) + (L54^2*$G$49^2) + (2*K54*L54*$G$48*$G$49*$P$49))</f>
        <v>6.0635720811219125</v>
      </c>
    </row>
    <row r="55" spans="5:17" ht="15">
      <c r="F55" s="45" t="s">
        <v>1</v>
      </c>
      <c r="G55" s="45" t="s">
        <v>2</v>
      </c>
      <c r="H55" s="45" t="s">
        <v>24</v>
      </c>
      <c r="I55" s="45" t="s">
        <v>4</v>
      </c>
      <c r="K55" s="11">
        <v>0.4</v>
      </c>
      <c r="L55" s="11">
        <v>0.6</v>
      </c>
      <c r="M55" s="12"/>
      <c r="N55" s="12">
        <f>(K55*F48)+(L55*F49)</f>
        <v>2.3604084818000004</v>
      </c>
      <c r="O55" s="12"/>
      <c r="P55" s="12"/>
      <c r="Q55" s="12">
        <f t="shared" ref="Q53:Q60" si="8">SQRT((K55^2*$G$48^2) + (L55^2*$G$49^2) + (2*K55*L55*$G$48*$G$49*$P$49))</f>
        <v>6.1890219527671055</v>
      </c>
    </row>
    <row r="56" spans="5:17" ht="15">
      <c r="E56" s="45" t="s">
        <v>1</v>
      </c>
      <c r="F56" s="1">
        <v>1</v>
      </c>
      <c r="G56" s="1">
        <v>0.46700000000000003</v>
      </c>
      <c r="H56" s="1">
        <f>CORREL(D4:D39,X4:X39)</f>
        <v>0.34294150517230537</v>
      </c>
      <c r="I56" s="1">
        <f>CORREL(D4:D39,AH4:AH39)</f>
        <v>0.3468071751429368</v>
      </c>
      <c r="K56" s="45">
        <v>0.5</v>
      </c>
      <c r="L56" s="45">
        <v>0.5</v>
      </c>
      <c r="N56" s="1">
        <f>(K56*F48)+(L56*F49)</f>
        <v>2.4630708265000001</v>
      </c>
      <c r="Q56" s="1">
        <f>SQRT((K56^2*$G$48^2) + (L56^2*$G$49^2) + (2*K56*L56*$G$48*$G$49*$P$49))</f>
        <v>6.4109566004530922</v>
      </c>
    </row>
    <row r="57" spans="5:17" ht="15">
      <c r="E57" s="45" t="s">
        <v>2</v>
      </c>
      <c r="F57" s="1">
        <v>0.46700000000000003</v>
      </c>
      <c r="G57" s="1">
        <v>1</v>
      </c>
      <c r="H57" s="1">
        <f>CORREL(N4:N39,X4:X39)</f>
        <v>0.42367998644081517</v>
      </c>
      <c r="I57" s="1">
        <f>CORREL(N4:N39,AH4:AH39)</f>
        <v>0.20218238421456647</v>
      </c>
      <c r="K57" s="49">
        <v>0.6</v>
      </c>
      <c r="L57" s="49">
        <v>0.4</v>
      </c>
      <c r="M57" s="50"/>
      <c r="N57" s="50">
        <f>(K57*F48)+(L57*F49)</f>
        <v>2.5657331711999998</v>
      </c>
      <c r="O57" s="50"/>
      <c r="P57" s="50"/>
      <c r="Q57" s="50">
        <f t="shared" si="8"/>
        <v>6.7198230472342724</v>
      </c>
    </row>
    <row r="58" spans="5:17" ht="15">
      <c r="E58" s="45" t="s">
        <v>24</v>
      </c>
      <c r="F58" s="1">
        <v>0.34</v>
      </c>
      <c r="G58" s="1">
        <v>0.42</v>
      </c>
      <c r="H58" s="1">
        <v>1</v>
      </c>
      <c r="I58" s="1">
        <f>CORREL(X4:X39,AH4:AH39)</f>
        <v>0.12065775997565496</v>
      </c>
      <c r="K58" s="13">
        <v>0.7</v>
      </c>
      <c r="L58" s="13">
        <v>0.3</v>
      </c>
      <c r="M58" s="14"/>
      <c r="N58" s="14">
        <f>(K58*F48)+(L58*F49)</f>
        <v>2.6683955158999999</v>
      </c>
      <c r="O58" s="14"/>
      <c r="P58" s="14"/>
      <c r="Q58" s="14">
        <f t="shared" si="8"/>
        <v>7.1042919767966035</v>
      </c>
    </row>
    <row r="59" spans="5:17" ht="15">
      <c r="E59" s="45" t="s">
        <v>25</v>
      </c>
      <c r="F59" s="1">
        <v>0.34</v>
      </c>
      <c r="G59" s="1">
        <v>0.2</v>
      </c>
      <c r="H59" s="1">
        <v>0.12</v>
      </c>
      <c r="I59" s="1">
        <v>1</v>
      </c>
      <c r="K59" s="45">
        <v>0.8</v>
      </c>
      <c r="L59" s="45">
        <v>0.2</v>
      </c>
      <c r="N59" s="1">
        <f>(K59*F48)+(L59*F49)</f>
        <v>2.7710578606</v>
      </c>
      <c r="Q59" s="1">
        <f t="shared" si="8"/>
        <v>7.5528267985702042</v>
      </c>
    </row>
    <row r="60" spans="5:17" ht="15">
      <c r="K60" s="45">
        <v>0.9</v>
      </c>
      <c r="L60" s="45">
        <v>0.1</v>
      </c>
      <c r="N60" s="1">
        <f>(K60*F48)+(L60*F49)</f>
        <v>2.8737202053000002</v>
      </c>
      <c r="Q60" s="1">
        <f t="shared" si="8"/>
        <v>8.0547319172652632</v>
      </c>
    </row>
    <row r="61" spans="5:17" ht="15">
      <c r="F61" s="45" t="s">
        <v>1</v>
      </c>
      <c r="G61" s="45" t="s">
        <v>4</v>
      </c>
      <c r="H61" s="45" t="s">
        <v>2</v>
      </c>
      <c r="I61" s="45" t="s">
        <v>28</v>
      </c>
    </row>
    <row r="62" spans="5:17" ht="15">
      <c r="E62" s="45" t="s">
        <v>29</v>
      </c>
      <c r="F62" s="1">
        <v>1</v>
      </c>
      <c r="G62" s="1">
        <v>0.4</v>
      </c>
      <c r="H62" s="1">
        <v>0.49</v>
      </c>
      <c r="I62" s="1">
        <v>0.32</v>
      </c>
    </row>
    <row r="63" spans="5:17" ht="15">
      <c r="E63" s="45" t="s">
        <v>25</v>
      </c>
      <c r="F63" s="1">
        <v>0.4</v>
      </c>
      <c r="G63" s="1">
        <v>1</v>
      </c>
      <c r="H63" s="1">
        <v>0.22</v>
      </c>
      <c r="I63" s="1">
        <v>7.0000000000000007E-2</v>
      </c>
    </row>
    <row r="64" spans="5:17" ht="15">
      <c r="E64" s="45" t="s">
        <v>2</v>
      </c>
      <c r="F64" s="1">
        <v>0.49</v>
      </c>
      <c r="G64" s="1">
        <v>0.22</v>
      </c>
      <c r="H64" s="1">
        <v>1</v>
      </c>
      <c r="I64" s="1">
        <v>0.39</v>
      </c>
    </row>
    <row r="65" spans="5:9" ht="15">
      <c r="E65" s="45" t="s">
        <v>24</v>
      </c>
      <c r="F65" s="1">
        <v>0.32</v>
      </c>
      <c r="G65" s="1">
        <v>7.0000000000000007E-2</v>
      </c>
      <c r="H65" s="1">
        <v>0.39</v>
      </c>
      <c r="I65" s="1">
        <v>1</v>
      </c>
    </row>
    <row r="66" spans="5:9" ht="15"/>
  </sheetData>
  <mergeCells count="3">
    <mergeCell ref="F1:M1"/>
    <mergeCell ref="K47:L47"/>
    <mergeCell ref="M47:O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3290-1C74-4735-B5D0-D506FA7CF6EE}">
  <dimension ref="A1:P38"/>
  <sheetViews>
    <sheetView workbookViewId="0">
      <selection activeCell="L33" sqref="L33"/>
    </sheetView>
  </sheetViews>
  <sheetFormatPr defaultColWidth="15.140625" defaultRowHeight="21.75" customHeight="1"/>
  <cols>
    <col min="1" max="1" width="15.140625" style="40"/>
    <col min="2" max="2" width="27.85546875" style="40" customWidth="1"/>
    <col min="3" max="3" width="29.140625" style="40" customWidth="1"/>
    <col min="4" max="4" width="30.7109375" style="40" customWidth="1"/>
    <col min="5" max="5" width="26.7109375" style="40" customWidth="1"/>
    <col min="6" max="10" width="15.140625" style="40"/>
    <col min="11" max="11" width="57.7109375" style="40" customWidth="1"/>
    <col min="12" max="12" width="18" style="40" customWidth="1"/>
    <col min="13" max="13" width="19.42578125" style="40" customWidth="1"/>
    <col min="14" max="14" width="18" style="40" customWidth="1"/>
    <col min="15" max="15" width="15.140625" style="40"/>
    <col min="16" max="16" width="35.85546875" style="40" customWidth="1"/>
    <col min="17" max="16384" width="15.140625" style="40"/>
  </cols>
  <sheetData>
    <row r="1" spans="1:16" ht="28.5">
      <c r="A1" s="38" t="s">
        <v>30</v>
      </c>
      <c r="B1" s="39" t="s">
        <v>31</v>
      </c>
      <c r="C1" s="39" t="s">
        <v>32</v>
      </c>
      <c r="D1" s="39" t="s">
        <v>33</v>
      </c>
      <c r="E1" s="39" t="s">
        <v>34</v>
      </c>
      <c r="F1" s="39" t="s">
        <v>35</v>
      </c>
      <c r="G1" s="39" t="s">
        <v>36</v>
      </c>
      <c r="H1" s="39" t="s">
        <v>37</v>
      </c>
      <c r="I1" s="39" t="s">
        <v>38</v>
      </c>
      <c r="K1" s="38" t="s">
        <v>39</v>
      </c>
      <c r="L1" s="39" t="s">
        <v>40</v>
      </c>
      <c r="M1" s="39" t="s">
        <v>41</v>
      </c>
      <c r="N1" s="39" t="s">
        <v>42</v>
      </c>
      <c r="O1" s="39" t="s">
        <v>43</v>
      </c>
      <c r="P1" s="39" t="s">
        <v>44</v>
      </c>
    </row>
    <row r="2" spans="1:16" ht="21.75" customHeight="1">
      <c r="A2" s="41">
        <v>45017</v>
      </c>
      <c r="B2" s="21">
        <v>2278.42</v>
      </c>
      <c r="C2" s="21">
        <v>608.77</v>
      </c>
      <c r="D2" s="21">
        <v>19.829999999999998</v>
      </c>
      <c r="E2" s="21">
        <v>99.07</v>
      </c>
      <c r="F2" s="21" t="s">
        <v>45</v>
      </c>
      <c r="G2" s="21" t="s">
        <v>45</v>
      </c>
      <c r="H2" s="21" t="s">
        <v>45</v>
      </c>
      <c r="I2" s="21" t="s">
        <v>45</v>
      </c>
      <c r="K2" s="54" t="s">
        <v>46</v>
      </c>
      <c r="L2" s="55"/>
      <c r="M2" s="55"/>
      <c r="N2" s="55"/>
      <c r="O2" s="55"/>
      <c r="P2" s="55"/>
    </row>
    <row r="3" spans="1:16" ht="21.75" customHeight="1">
      <c r="A3" s="41">
        <v>45047</v>
      </c>
      <c r="B3" s="21">
        <v>2325.16</v>
      </c>
      <c r="C3" s="21">
        <v>621.17999999999995</v>
      </c>
      <c r="D3" s="21">
        <v>20.2</v>
      </c>
      <c r="E3" s="21">
        <v>100.51</v>
      </c>
      <c r="F3" s="20">
        <v>2.0500000000000001E-2</v>
      </c>
      <c r="G3" s="20">
        <v>2.0400000000000001E-2</v>
      </c>
      <c r="H3" s="20">
        <v>1.8700000000000001E-2</v>
      </c>
      <c r="I3" s="20">
        <v>1.4500000000000001E-2</v>
      </c>
      <c r="K3" s="42" t="s">
        <v>47</v>
      </c>
      <c r="L3" s="21">
        <v>2278.42</v>
      </c>
      <c r="M3" s="21">
        <v>608.77</v>
      </c>
      <c r="N3" s="21">
        <v>19.829999999999998</v>
      </c>
      <c r="O3" s="21">
        <v>99.07</v>
      </c>
      <c r="P3" s="21" t="s">
        <v>48</v>
      </c>
    </row>
    <row r="4" spans="1:16" ht="21.75" customHeight="1">
      <c r="A4" s="41">
        <v>45078</v>
      </c>
      <c r="B4" s="21">
        <v>2559.11</v>
      </c>
      <c r="C4" s="21">
        <v>668.44</v>
      </c>
      <c r="D4" s="21">
        <v>21.66</v>
      </c>
      <c r="E4" s="21">
        <v>106.23</v>
      </c>
      <c r="F4" s="20">
        <v>0.10059999999999999</v>
      </c>
      <c r="G4" s="20">
        <v>7.6100000000000001E-2</v>
      </c>
      <c r="H4" s="20">
        <v>7.2300000000000003E-2</v>
      </c>
      <c r="I4" s="20">
        <v>5.6899999999999999E-2</v>
      </c>
      <c r="K4" s="42" t="s">
        <v>49</v>
      </c>
      <c r="L4" s="21">
        <v>4760.16</v>
      </c>
      <c r="M4" s="21">
        <v>1128.24</v>
      </c>
      <c r="N4" s="21">
        <v>37.17</v>
      </c>
      <c r="O4" s="21">
        <v>167.08</v>
      </c>
      <c r="P4" s="21" t="s">
        <v>50</v>
      </c>
    </row>
    <row r="5" spans="1:16" ht="21.75" customHeight="1">
      <c r="A5" s="41">
        <v>45108</v>
      </c>
      <c r="B5" s="21">
        <v>2749.38</v>
      </c>
      <c r="C5" s="21">
        <v>707.14</v>
      </c>
      <c r="D5" s="21">
        <v>23.44</v>
      </c>
      <c r="E5" s="21">
        <v>110.64</v>
      </c>
      <c r="F5" s="20">
        <v>7.4399999999999994E-2</v>
      </c>
      <c r="G5" s="20">
        <v>5.79E-2</v>
      </c>
      <c r="H5" s="20">
        <v>8.2199999999999995E-2</v>
      </c>
      <c r="I5" s="20">
        <v>4.1500000000000002E-2</v>
      </c>
      <c r="K5" s="42" t="s">
        <v>51</v>
      </c>
      <c r="L5" s="20">
        <v>1.0891999999999999</v>
      </c>
      <c r="M5" s="20">
        <v>0.85329999999999995</v>
      </c>
      <c r="N5" s="20">
        <v>0.87439999999999996</v>
      </c>
      <c r="O5" s="20">
        <v>0.6865</v>
      </c>
      <c r="P5" s="21" t="s">
        <v>52</v>
      </c>
    </row>
    <row r="6" spans="1:16" ht="21.75" customHeight="1">
      <c r="A6" s="41">
        <v>45139</v>
      </c>
      <c r="B6" s="21">
        <v>2684.38</v>
      </c>
      <c r="C6" s="21">
        <v>694.82</v>
      </c>
      <c r="D6" s="21">
        <v>22.88</v>
      </c>
      <c r="E6" s="21">
        <v>107.36</v>
      </c>
      <c r="F6" s="20">
        <v>-2.3599999999999999E-2</v>
      </c>
      <c r="G6" s="20">
        <v>-1.7399999999999999E-2</v>
      </c>
      <c r="H6" s="20">
        <v>-2.3900000000000001E-2</v>
      </c>
      <c r="I6" s="20">
        <v>-2.9600000000000001E-2</v>
      </c>
      <c r="K6" s="43" t="s">
        <v>53</v>
      </c>
      <c r="L6" s="22">
        <v>0.27839999999999998</v>
      </c>
      <c r="M6" s="22">
        <v>0.2283</v>
      </c>
      <c r="N6" s="22">
        <v>0.23300000000000001</v>
      </c>
      <c r="O6" s="22">
        <v>0.1903</v>
      </c>
      <c r="P6" s="21" t="s">
        <v>54</v>
      </c>
    </row>
    <row r="7" spans="1:16" ht="21.75" customHeight="1">
      <c r="A7" s="41">
        <v>45170</v>
      </c>
      <c r="B7" s="21">
        <v>2847.93</v>
      </c>
      <c r="C7" s="21">
        <v>724.61</v>
      </c>
      <c r="D7" s="21">
        <v>24.2</v>
      </c>
      <c r="E7" s="21">
        <v>111.43</v>
      </c>
      <c r="F7" s="20">
        <v>6.0900000000000003E-2</v>
      </c>
      <c r="G7" s="20">
        <v>4.2900000000000001E-2</v>
      </c>
      <c r="H7" s="20">
        <v>5.7700000000000001E-2</v>
      </c>
      <c r="I7" s="20">
        <v>3.7900000000000003E-2</v>
      </c>
      <c r="K7" s="42" t="s">
        <v>55</v>
      </c>
      <c r="L7" s="20">
        <v>0.2198</v>
      </c>
      <c r="M7" s="20">
        <v>0.22270000000000001</v>
      </c>
      <c r="N7" s="20">
        <v>5.8400000000000001E-2</v>
      </c>
      <c r="O7" s="20">
        <v>0.2442</v>
      </c>
      <c r="P7" s="21" t="s">
        <v>56</v>
      </c>
    </row>
    <row r="8" spans="1:16" ht="21.75" customHeight="1">
      <c r="A8" s="41">
        <v>45200</v>
      </c>
      <c r="B8" s="21">
        <v>2773.41</v>
      </c>
      <c r="C8" s="21">
        <v>706.48</v>
      </c>
      <c r="D8" s="21">
        <v>23.6</v>
      </c>
      <c r="E8" s="21">
        <v>108.31</v>
      </c>
      <c r="F8" s="20">
        <v>-2.6200000000000001E-2</v>
      </c>
      <c r="G8" s="20">
        <v>-2.5000000000000001E-2</v>
      </c>
      <c r="H8" s="20">
        <v>-2.4799999999999999E-2</v>
      </c>
      <c r="I8" s="20">
        <v>-2.8000000000000001E-2</v>
      </c>
      <c r="K8" s="42" t="s">
        <v>57</v>
      </c>
      <c r="L8" s="20">
        <v>2.1399999999999999E-2</v>
      </c>
      <c r="M8" s="20">
        <v>1.78E-2</v>
      </c>
      <c r="N8" s="20">
        <v>1.84E-2</v>
      </c>
      <c r="O8" s="20">
        <v>1.5100000000000001E-2</v>
      </c>
      <c r="P8" s="21" t="s">
        <v>58</v>
      </c>
    </row>
    <row r="9" spans="1:16" ht="21.75" customHeight="1">
      <c r="A9" s="41">
        <v>45231</v>
      </c>
      <c r="B9" s="21">
        <v>3004.72</v>
      </c>
      <c r="C9" s="21">
        <v>750.56</v>
      </c>
      <c r="D9" s="21">
        <v>25.41</v>
      </c>
      <c r="E9" s="21">
        <v>114.97</v>
      </c>
      <c r="F9" s="20">
        <v>8.3400000000000002E-2</v>
      </c>
      <c r="G9" s="20">
        <v>6.2399999999999997E-2</v>
      </c>
      <c r="H9" s="20">
        <v>7.6700000000000004E-2</v>
      </c>
      <c r="I9" s="20">
        <v>6.1499999999999999E-2</v>
      </c>
      <c r="K9" s="54" t="s">
        <v>59</v>
      </c>
      <c r="L9" s="55"/>
      <c r="M9" s="55"/>
      <c r="N9" s="55"/>
      <c r="O9" s="55"/>
      <c r="P9" s="55"/>
    </row>
    <row r="10" spans="1:16" ht="21.75" customHeight="1">
      <c r="A10" s="41">
        <v>45261</v>
      </c>
      <c r="B10" s="21">
        <v>3235.14</v>
      </c>
      <c r="C10" s="21">
        <v>797.3</v>
      </c>
      <c r="D10" s="21">
        <v>27.49</v>
      </c>
      <c r="E10" s="21">
        <v>121.46</v>
      </c>
      <c r="F10" s="20">
        <v>7.6700000000000004E-2</v>
      </c>
      <c r="G10" s="20">
        <v>6.2300000000000001E-2</v>
      </c>
      <c r="H10" s="20">
        <v>8.1900000000000001E-2</v>
      </c>
      <c r="I10" s="20">
        <v>5.6399999999999999E-2</v>
      </c>
      <c r="K10" s="42" t="s">
        <v>60</v>
      </c>
      <c r="L10" s="20">
        <v>3.8600000000000002E-2</v>
      </c>
      <c r="M10" s="20">
        <v>3.2500000000000001E-2</v>
      </c>
      <c r="N10" s="20">
        <v>0.04</v>
      </c>
      <c r="O10" s="20">
        <v>3.2300000000000002E-2</v>
      </c>
      <c r="P10" s="21" t="s">
        <v>61</v>
      </c>
    </row>
    <row r="11" spans="1:16" ht="21.75" customHeight="1">
      <c r="A11" s="41">
        <v>45292</v>
      </c>
      <c r="B11" s="21">
        <v>3341.55</v>
      </c>
      <c r="C11" s="21">
        <v>813.26</v>
      </c>
      <c r="D11" s="21">
        <v>28.68</v>
      </c>
      <c r="E11" s="21">
        <v>122.95</v>
      </c>
      <c r="F11" s="20">
        <v>3.2899999999999999E-2</v>
      </c>
      <c r="G11" s="20">
        <v>0.02</v>
      </c>
      <c r="H11" s="20">
        <v>4.3299999999999998E-2</v>
      </c>
      <c r="I11" s="20">
        <v>1.23E-2</v>
      </c>
      <c r="K11" s="43" t="s">
        <v>62</v>
      </c>
      <c r="L11" s="22">
        <v>0.13389999999999999</v>
      </c>
      <c r="M11" s="22">
        <v>0.11260000000000001</v>
      </c>
      <c r="N11" s="22">
        <v>0.1384</v>
      </c>
      <c r="O11" s="22">
        <v>0.1119</v>
      </c>
      <c r="P11" s="21" t="s">
        <v>63</v>
      </c>
    </row>
    <row r="12" spans="1:16" ht="21.75" customHeight="1">
      <c r="A12" s="41">
        <v>45323</v>
      </c>
      <c r="B12" s="21">
        <v>3513.84</v>
      </c>
      <c r="C12" s="21">
        <v>843.92</v>
      </c>
      <c r="D12" s="21">
        <v>30.62</v>
      </c>
      <c r="E12" s="21">
        <v>127.86</v>
      </c>
      <c r="F12" s="20">
        <v>5.16E-2</v>
      </c>
      <c r="G12" s="20">
        <v>3.7699999999999997E-2</v>
      </c>
      <c r="H12" s="20">
        <v>6.7599999999999993E-2</v>
      </c>
      <c r="I12" s="20">
        <v>3.9899999999999998E-2</v>
      </c>
      <c r="K12" s="42" t="s">
        <v>64</v>
      </c>
      <c r="L12" s="20">
        <v>9.4000000000000004E-3</v>
      </c>
      <c r="M12" s="20">
        <v>7.7000000000000002E-3</v>
      </c>
      <c r="N12" s="20">
        <v>8.9999999999999993E-3</v>
      </c>
      <c r="O12" s="20">
        <v>8.5000000000000006E-3</v>
      </c>
      <c r="P12" s="21" t="s">
        <v>65</v>
      </c>
    </row>
    <row r="13" spans="1:16" ht="21.75" customHeight="1">
      <c r="A13" s="41">
        <v>45352</v>
      </c>
      <c r="B13" s="21">
        <v>3581.46</v>
      </c>
      <c r="C13" s="21">
        <v>860.23</v>
      </c>
      <c r="D13" s="21">
        <v>31.39</v>
      </c>
      <c r="E13" s="21">
        <v>129.83000000000001</v>
      </c>
      <c r="F13" s="20">
        <v>1.9199999999999998E-2</v>
      </c>
      <c r="G13" s="20">
        <v>1.9300000000000001E-2</v>
      </c>
      <c r="H13" s="20">
        <v>2.5100000000000001E-2</v>
      </c>
      <c r="I13" s="20">
        <v>1.54E-2</v>
      </c>
      <c r="K13" s="42" t="s">
        <v>66</v>
      </c>
      <c r="L13" s="20">
        <v>-5.6099999999999997E-2</v>
      </c>
      <c r="M13" s="20">
        <v>-4.6300000000000001E-2</v>
      </c>
      <c r="N13" s="20">
        <v>-5.3699999999999998E-2</v>
      </c>
      <c r="O13" s="20">
        <v>-5.1200000000000002E-2</v>
      </c>
      <c r="P13" s="21" t="s">
        <v>67</v>
      </c>
    </row>
    <row r="14" spans="1:16" ht="21.75" customHeight="1">
      <c r="A14" s="41">
        <v>45383</v>
      </c>
      <c r="B14" s="21">
        <v>3633.28</v>
      </c>
      <c r="C14" s="21">
        <v>862.44</v>
      </c>
      <c r="D14" s="21">
        <v>31.72</v>
      </c>
      <c r="E14" s="21">
        <v>130.41</v>
      </c>
      <c r="F14" s="20">
        <v>1.4500000000000001E-2</v>
      </c>
      <c r="G14" s="20">
        <v>2.5999999999999999E-3</v>
      </c>
      <c r="H14" s="20">
        <v>1.0500000000000001E-2</v>
      </c>
      <c r="I14" s="20">
        <v>4.4999999999999997E-3</v>
      </c>
      <c r="K14" s="42" t="s">
        <v>68</v>
      </c>
      <c r="L14" s="21">
        <v>25</v>
      </c>
      <c r="M14" s="21">
        <v>25</v>
      </c>
      <c r="N14" s="21">
        <v>24</v>
      </c>
      <c r="O14" s="21">
        <v>25</v>
      </c>
      <c r="P14" s="21" t="s">
        <v>69</v>
      </c>
    </row>
    <row r="15" spans="1:16" ht="21.75" customHeight="1">
      <c r="A15" s="41">
        <v>45413</v>
      </c>
      <c r="B15" s="21">
        <v>3668.91</v>
      </c>
      <c r="C15" s="21">
        <v>876.08</v>
      </c>
      <c r="D15" s="21">
        <v>32.08</v>
      </c>
      <c r="E15" s="21">
        <v>131.62</v>
      </c>
      <c r="F15" s="20">
        <v>9.7999999999999997E-3</v>
      </c>
      <c r="G15" s="20">
        <v>1.5800000000000002E-2</v>
      </c>
      <c r="H15" s="20">
        <v>1.1299999999999999E-2</v>
      </c>
      <c r="I15" s="20">
        <v>9.2999999999999992E-3</v>
      </c>
      <c r="K15" s="42" t="s">
        <v>70</v>
      </c>
      <c r="L15" s="21">
        <v>11</v>
      </c>
      <c r="M15" s="21">
        <v>11</v>
      </c>
      <c r="N15" s="21">
        <v>12</v>
      </c>
      <c r="O15" s="21">
        <v>11</v>
      </c>
      <c r="P15" s="21" t="s">
        <v>71</v>
      </c>
    </row>
    <row r="16" spans="1:16" ht="21.75" customHeight="1">
      <c r="A16" s="41">
        <v>45444</v>
      </c>
      <c r="B16" s="21">
        <v>3888.5</v>
      </c>
      <c r="C16" s="21">
        <v>923.4</v>
      </c>
      <c r="D16" s="21">
        <v>34.72</v>
      </c>
      <c r="E16" s="21">
        <v>138.36000000000001</v>
      </c>
      <c r="F16" s="20">
        <v>5.9900000000000002E-2</v>
      </c>
      <c r="G16" s="20">
        <v>5.3999999999999999E-2</v>
      </c>
      <c r="H16" s="20">
        <v>8.2299999999999998E-2</v>
      </c>
      <c r="I16" s="20">
        <v>5.1200000000000002E-2</v>
      </c>
      <c r="K16" s="42" t="s">
        <v>72</v>
      </c>
      <c r="L16" s="20">
        <v>0.69399999999999995</v>
      </c>
      <c r="M16" s="20">
        <v>0.69399999999999995</v>
      </c>
      <c r="N16" s="20">
        <v>0.66700000000000004</v>
      </c>
      <c r="O16" s="20">
        <v>0.69399999999999995</v>
      </c>
      <c r="P16" s="21" t="s">
        <v>73</v>
      </c>
    </row>
    <row r="17" spans="1:16" ht="21.75" customHeight="1">
      <c r="A17" s="41">
        <v>45474</v>
      </c>
      <c r="B17" s="21">
        <v>4140.22</v>
      </c>
      <c r="C17" s="21">
        <v>967.88</v>
      </c>
      <c r="D17" s="21">
        <v>37.340000000000003</v>
      </c>
      <c r="E17" s="21">
        <v>143.72</v>
      </c>
      <c r="F17" s="20">
        <v>6.4699999999999994E-2</v>
      </c>
      <c r="G17" s="20">
        <v>4.82E-2</v>
      </c>
      <c r="H17" s="20">
        <v>7.5499999999999998E-2</v>
      </c>
      <c r="I17" s="20">
        <v>3.8699999999999998E-2</v>
      </c>
      <c r="K17" s="54" t="s">
        <v>74</v>
      </c>
      <c r="L17" s="55"/>
      <c r="M17" s="55"/>
      <c r="N17" s="55"/>
      <c r="O17" s="55"/>
      <c r="P17" s="55"/>
    </row>
    <row r="18" spans="1:16" ht="21.75" customHeight="1">
      <c r="A18" s="41">
        <v>45505</v>
      </c>
      <c r="B18" s="21">
        <v>4076.39</v>
      </c>
      <c r="C18" s="21">
        <v>944.11</v>
      </c>
      <c r="D18" s="21">
        <v>36.68</v>
      </c>
      <c r="E18" s="21">
        <v>140.36000000000001</v>
      </c>
      <c r="F18" s="20">
        <v>-1.54E-2</v>
      </c>
      <c r="G18" s="20">
        <v>-2.46E-2</v>
      </c>
      <c r="H18" s="20">
        <v>-1.77E-2</v>
      </c>
      <c r="I18" s="20">
        <v>-2.3400000000000001E-2</v>
      </c>
      <c r="K18" s="42" t="s">
        <v>75</v>
      </c>
      <c r="L18" s="20">
        <v>6.5000000000000002E-2</v>
      </c>
      <c r="M18" s="20">
        <v>6.5000000000000002E-2</v>
      </c>
      <c r="N18" s="20">
        <v>6.5000000000000002E-2</v>
      </c>
      <c r="O18" s="20">
        <v>6.5000000000000002E-2</v>
      </c>
      <c r="P18" s="44" t="s">
        <v>76</v>
      </c>
    </row>
    <row r="19" spans="1:16" ht="21.75" customHeight="1">
      <c r="A19" s="41">
        <v>45536</v>
      </c>
      <c r="B19" s="21">
        <v>4232.18</v>
      </c>
      <c r="C19" s="21">
        <v>976.64</v>
      </c>
      <c r="D19" s="21">
        <v>38.29</v>
      </c>
      <c r="E19" s="21">
        <v>145.22</v>
      </c>
      <c r="F19" s="20">
        <v>3.8199999999999998E-2</v>
      </c>
      <c r="G19" s="20">
        <v>3.4500000000000003E-2</v>
      </c>
      <c r="H19" s="20">
        <v>4.3900000000000002E-2</v>
      </c>
      <c r="I19" s="20">
        <v>3.4599999999999999E-2</v>
      </c>
      <c r="K19" s="42" t="s">
        <v>77</v>
      </c>
      <c r="L19" s="20">
        <v>5.4200000000000003E-3</v>
      </c>
      <c r="M19" s="20">
        <v>5.4200000000000003E-3</v>
      </c>
      <c r="N19" s="20">
        <v>5.4200000000000003E-3</v>
      </c>
      <c r="O19" s="20">
        <v>5.4200000000000003E-3</v>
      </c>
      <c r="P19" s="21" t="s">
        <v>78</v>
      </c>
    </row>
    <row r="20" spans="1:16" ht="21.75" customHeight="1">
      <c r="A20" s="41">
        <v>45566</v>
      </c>
      <c r="B20" s="21">
        <v>4072.6</v>
      </c>
      <c r="C20" s="21">
        <v>940.82</v>
      </c>
      <c r="D20" s="21">
        <v>36.97</v>
      </c>
      <c r="E20" s="21">
        <v>139.13999999999999</v>
      </c>
      <c r="F20" s="20">
        <v>-3.7699999999999997E-2</v>
      </c>
      <c r="G20" s="20">
        <v>-3.6700000000000003E-2</v>
      </c>
      <c r="H20" s="20">
        <v>-3.4500000000000003E-2</v>
      </c>
      <c r="I20" s="20">
        <v>-4.19E-2</v>
      </c>
      <c r="K20" s="43" t="s">
        <v>79</v>
      </c>
      <c r="L20" s="23">
        <v>0.41299999999999998</v>
      </c>
      <c r="M20" s="23">
        <v>0.38100000000000001</v>
      </c>
      <c r="N20" s="23">
        <v>0.32400000000000001</v>
      </c>
      <c r="O20" s="23">
        <v>0.30099999999999999</v>
      </c>
      <c r="P20" s="21" t="s">
        <v>80</v>
      </c>
    </row>
    <row r="21" spans="1:16" ht="21.75" customHeight="1">
      <c r="A21" s="41">
        <v>45597</v>
      </c>
      <c r="B21" s="21">
        <v>3992.04</v>
      </c>
      <c r="C21" s="21">
        <v>916.73</v>
      </c>
      <c r="D21" s="21">
        <v>36.1</v>
      </c>
      <c r="E21" s="21">
        <v>135.84</v>
      </c>
      <c r="F21" s="20">
        <v>-1.9800000000000002E-2</v>
      </c>
      <c r="G21" s="20">
        <v>-2.5600000000000001E-2</v>
      </c>
      <c r="H21" s="20">
        <v>-2.35E-2</v>
      </c>
      <c r="I21" s="20">
        <v>-2.3699999999999999E-2</v>
      </c>
      <c r="K21" s="43" t="s">
        <v>81</v>
      </c>
      <c r="L21" s="23">
        <v>1.4319999999999999</v>
      </c>
      <c r="M21" s="23">
        <v>1.319</v>
      </c>
      <c r="N21" s="23">
        <v>1.123</v>
      </c>
      <c r="O21" s="23">
        <v>1.042</v>
      </c>
      <c r="P21" s="21" t="s">
        <v>82</v>
      </c>
    </row>
    <row r="22" spans="1:16" ht="21.75" customHeight="1">
      <c r="A22" s="41">
        <v>45627</v>
      </c>
      <c r="B22" s="21">
        <v>3883.6</v>
      </c>
      <c r="C22" s="21">
        <v>902.42</v>
      </c>
      <c r="D22" s="21">
        <v>35.21</v>
      </c>
      <c r="E22" s="21">
        <v>133.21</v>
      </c>
      <c r="F22" s="20">
        <v>-2.7199999999999998E-2</v>
      </c>
      <c r="G22" s="20">
        <v>-1.5599999999999999E-2</v>
      </c>
      <c r="H22" s="20">
        <v>-2.47E-2</v>
      </c>
      <c r="I22" s="20">
        <v>-1.9400000000000001E-2</v>
      </c>
      <c r="K22" s="42" t="s">
        <v>83</v>
      </c>
      <c r="L22" s="21">
        <v>1.708</v>
      </c>
      <c r="M22" s="21">
        <v>1.6020000000000001</v>
      </c>
      <c r="N22" s="21">
        <v>1.4470000000000001</v>
      </c>
      <c r="O22" s="21">
        <v>1.1379999999999999</v>
      </c>
      <c r="P22" s="21" t="s">
        <v>84</v>
      </c>
    </row>
    <row r="23" spans="1:16" ht="21.75" customHeight="1">
      <c r="A23" s="41">
        <v>45658</v>
      </c>
      <c r="B23" s="21">
        <v>3820.14</v>
      </c>
      <c r="C23" s="21">
        <v>894.38</v>
      </c>
      <c r="D23" s="21">
        <v>34.72</v>
      </c>
      <c r="E23" s="21">
        <v>131.68</v>
      </c>
      <c r="F23" s="20">
        <v>-1.6299999999999999E-2</v>
      </c>
      <c r="G23" s="20">
        <v>-8.8999999999999999E-3</v>
      </c>
      <c r="H23" s="20">
        <v>-1.3899999999999999E-2</v>
      </c>
      <c r="I23" s="20">
        <v>-1.15E-2</v>
      </c>
      <c r="K23" s="42" t="s">
        <v>85</v>
      </c>
      <c r="L23" s="21">
        <v>1.81</v>
      </c>
      <c r="M23" s="21">
        <v>1.83</v>
      </c>
      <c r="N23" s="21">
        <v>2.1800000000000002</v>
      </c>
      <c r="O23" s="21">
        <v>2.13</v>
      </c>
      <c r="P23" s="21" t="s">
        <v>86</v>
      </c>
    </row>
    <row r="24" spans="1:16" ht="21.75" customHeight="1">
      <c r="A24" s="41">
        <v>45689</v>
      </c>
      <c r="B24" s="21">
        <v>3605.77</v>
      </c>
      <c r="C24" s="21">
        <v>852.93</v>
      </c>
      <c r="D24" s="21">
        <v>32.89</v>
      </c>
      <c r="E24" s="21">
        <v>124.94</v>
      </c>
      <c r="F24" s="20">
        <v>-5.6099999999999997E-2</v>
      </c>
      <c r="G24" s="20">
        <v>-4.6300000000000001E-2</v>
      </c>
      <c r="H24" s="20">
        <v>-5.2699999999999997E-2</v>
      </c>
      <c r="I24" s="20">
        <v>-5.1200000000000002E-2</v>
      </c>
      <c r="K24" s="54" t="s">
        <v>87</v>
      </c>
      <c r="L24" s="55"/>
      <c r="M24" s="55"/>
      <c r="N24" s="55"/>
      <c r="O24" s="55"/>
      <c r="P24" s="55"/>
    </row>
    <row r="25" spans="1:16" ht="21.75" customHeight="1">
      <c r="A25" s="41">
        <v>45717</v>
      </c>
      <c r="B25" s="21">
        <v>3622.48</v>
      </c>
      <c r="C25" s="21">
        <v>860.41</v>
      </c>
      <c r="D25" s="21">
        <v>33.24</v>
      </c>
      <c r="E25" s="21">
        <v>125.81</v>
      </c>
      <c r="F25" s="20">
        <v>4.5999999999999999E-3</v>
      </c>
      <c r="G25" s="20">
        <v>8.8000000000000005E-3</v>
      </c>
      <c r="H25" s="20">
        <v>1.06E-2</v>
      </c>
      <c r="I25" s="20">
        <v>7.0000000000000001E-3</v>
      </c>
      <c r="K25" s="43" t="s">
        <v>88</v>
      </c>
      <c r="L25" s="23" t="s">
        <v>89</v>
      </c>
      <c r="M25" s="23" t="s">
        <v>90</v>
      </c>
      <c r="N25" s="23" t="s">
        <v>91</v>
      </c>
      <c r="O25" s="23" t="s">
        <v>91</v>
      </c>
      <c r="P25" s="23" t="s">
        <v>92</v>
      </c>
    </row>
    <row r="26" spans="1:16" ht="21.75" customHeight="1">
      <c r="A26" s="41">
        <v>45748</v>
      </c>
      <c r="B26" s="21">
        <v>3902.54</v>
      </c>
      <c r="C26" s="21">
        <v>922.76</v>
      </c>
      <c r="D26" s="21">
        <v>35.119999999999997</v>
      </c>
      <c r="E26" s="21">
        <v>134.29</v>
      </c>
      <c r="F26" s="20">
        <v>7.7299999999999994E-2</v>
      </c>
      <c r="G26" s="20">
        <v>7.2499999999999995E-2</v>
      </c>
      <c r="H26" s="20">
        <v>5.6599999999999998E-2</v>
      </c>
      <c r="I26" s="20">
        <v>6.7400000000000002E-2</v>
      </c>
      <c r="K26" s="42" t="s">
        <v>93</v>
      </c>
      <c r="L26" s="22">
        <v>0.27839999999999998</v>
      </c>
      <c r="M26" s="23" t="s">
        <v>40</v>
      </c>
      <c r="N26" s="53"/>
      <c r="O26" s="53"/>
      <c r="P26" s="42" t="s">
        <v>94</v>
      </c>
    </row>
    <row r="27" spans="1:16" ht="21.75" customHeight="1">
      <c r="A27" s="41">
        <v>45778</v>
      </c>
      <c r="B27" s="21">
        <v>4084.33</v>
      </c>
      <c r="C27" s="21">
        <v>963.47</v>
      </c>
      <c r="D27" s="21">
        <v>36.44</v>
      </c>
      <c r="E27" s="21">
        <v>140.18</v>
      </c>
      <c r="F27" s="20">
        <v>4.6600000000000003E-2</v>
      </c>
      <c r="G27" s="20">
        <v>4.41E-2</v>
      </c>
      <c r="H27" s="20">
        <v>3.7600000000000001E-2</v>
      </c>
      <c r="I27" s="20">
        <v>4.3900000000000002E-2</v>
      </c>
      <c r="K27" s="42" t="s">
        <v>95</v>
      </c>
      <c r="L27" s="22">
        <v>0.1903</v>
      </c>
      <c r="M27" s="23" t="s">
        <v>43</v>
      </c>
      <c r="N27" s="53"/>
      <c r="O27" s="53"/>
      <c r="P27" s="42" t="s">
        <v>94</v>
      </c>
    </row>
    <row r="28" spans="1:16" ht="21.75" customHeight="1">
      <c r="A28" s="41">
        <v>45809</v>
      </c>
      <c r="B28" s="21">
        <v>4197.62</v>
      </c>
      <c r="C28" s="21">
        <v>990.22</v>
      </c>
      <c r="D28" s="21">
        <v>37.08</v>
      </c>
      <c r="E28" s="21">
        <v>143.61000000000001</v>
      </c>
      <c r="F28" s="20">
        <v>2.7699999999999999E-2</v>
      </c>
      <c r="G28" s="20">
        <v>2.7799999999999998E-2</v>
      </c>
      <c r="H28" s="20">
        <v>1.7600000000000001E-2</v>
      </c>
      <c r="I28" s="20">
        <v>2.4500000000000001E-2</v>
      </c>
      <c r="K28" s="42" t="s">
        <v>96</v>
      </c>
      <c r="L28" s="22">
        <v>0.1384</v>
      </c>
      <c r="M28" s="23" t="s">
        <v>42</v>
      </c>
      <c r="N28" s="53"/>
      <c r="O28" s="53"/>
      <c r="P28" s="42" t="s">
        <v>94</v>
      </c>
    </row>
    <row r="29" spans="1:16" ht="21.75" customHeight="1">
      <c r="A29" s="41">
        <v>45839</v>
      </c>
      <c r="B29" s="21">
        <v>4318.9399999999996</v>
      </c>
      <c r="C29" s="21">
        <v>1014.86</v>
      </c>
      <c r="D29" s="21">
        <v>37.89</v>
      </c>
      <c r="E29" s="21">
        <v>147.22</v>
      </c>
      <c r="F29" s="20">
        <v>2.8899999999999999E-2</v>
      </c>
      <c r="G29" s="20">
        <v>2.4899999999999999E-2</v>
      </c>
      <c r="H29" s="20">
        <v>2.18E-2</v>
      </c>
      <c r="I29" s="20">
        <v>2.5100000000000001E-2</v>
      </c>
      <c r="K29" s="42" t="s">
        <v>97</v>
      </c>
      <c r="L29" s="22">
        <v>0.1119</v>
      </c>
      <c r="M29" s="23" t="s">
        <v>43</v>
      </c>
      <c r="N29" s="53"/>
      <c r="O29" s="53"/>
      <c r="P29" s="42" t="s">
        <v>94</v>
      </c>
    </row>
    <row r="30" spans="1:16" ht="21.75" customHeight="1">
      <c r="A30" s="41">
        <v>45870</v>
      </c>
      <c r="B30" s="21">
        <v>4421.07</v>
      </c>
      <c r="C30" s="21">
        <v>1038.54</v>
      </c>
      <c r="D30" s="21">
        <v>38.619999999999997</v>
      </c>
      <c r="E30" s="21">
        <v>150.84</v>
      </c>
      <c r="F30" s="20">
        <v>2.3599999999999999E-2</v>
      </c>
      <c r="G30" s="20">
        <v>2.3300000000000001E-2</v>
      </c>
      <c r="H30" s="20">
        <v>1.9300000000000001E-2</v>
      </c>
      <c r="I30" s="20">
        <v>2.46E-2</v>
      </c>
      <c r="K30" s="42" t="s">
        <v>98</v>
      </c>
      <c r="L30" s="23">
        <v>1.4319999999999999</v>
      </c>
      <c r="M30" s="23" t="s">
        <v>40</v>
      </c>
      <c r="N30" s="53"/>
      <c r="O30" s="53"/>
      <c r="P30" s="42" t="s">
        <v>94</v>
      </c>
    </row>
    <row r="31" spans="1:16" ht="21.75" customHeight="1">
      <c r="A31" s="41">
        <v>45901</v>
      </c>
      <c r="B31" s="21">
        <v>4512.33</v>
      </c>
      <c r="C31" s="21">
        <v>1058.92</v>
      </c>
      <c r="D31" s="21">
        <v>39.18</v>
      </c>
      <c r="E31" s="21">
        <v>153.66</v>
      </c>
      <c r="F31" s="20">
        <v>2.06E-2</v>
      </c>
      <c r="G31" s="20">
        <v>1.9599999999999999E-2</v>
      </c>
      <c r="H31" s="20">
        <v>1.4500000000000001E-2</v>
      </c>
      <c r="I31" s="20">
        <v>1.8700000000000001E-2</v>
      </c>
      <c r="K31" s="42" t="s">
        <v>99</v>
      </c>
      <c r="L31" s="22">
        <v>0.69440000000000002</v>
      </c>
      <c r="M31" s="23" t="s">
        <v>40</v>
      </c>
      <c r="N31" s="53"/>
      <c r="O31" s="53"/>
      <c r="P31" s="42" t="s">
        <v>94</v>
      </c>
    </row>
    <row r="32" spans="1:16" ht="21.75" customHeight="1">
      <c r="A32" s="41">
        <v>45931</v>
      </c>
      <c r="B32" s="21">
        <v>4388.17</v>
      </c>
      <c r="C32" s="21">
        <v>1031.44</v>
      </c>
      <c r="D32" s="21">
        <v>38.14</v>
      </c>
      <c r="E32" s="21">
        <v>149.77000000000001</v>
      </c>
      <c r="F32" s="20">
        <v>-2.75E-2</v>
      </c>
      <c r="G32" s="20">
        <v>-2.5999999999999999E-2</v>
      </c>
      <c r="H32" s="20">
        <v>-2.6499999999999999E-2</v>
      </c>
      <c r="I32" s="20">
        <v>-2.53E-2</v>
      </c>
    </row>
    <row r="33" spans="1:9" ht="21.75" customHeight="1">
      <c r="A33" s="41">
        <v>45962</v>
      </c>
      <c r="B33" s="21">
        <v>4507.62</v>
      </c>
      <c r="C33" s="21">
        <v>1056.28</v>
      </c>
      <c r="D33" s="21">
        <v>38.840000000000003</v>
      </c>
      <c r="E33" s="21">
        <v>153.41999999999999</v>
      </c>
      <c r="F33" s="20">
        <v>2.7199999999999998E-2</v>
      </c>
      <c r="G33" s="20">
        <v>2.41E-2</v>
      </c>
      <c r="H33" s="20">
        <v>1.84E-2</v>
      </c>
      <c r="I33" s="20">
        <v>2.4400000000000002E-2</v>
      </c>
    </row>
    <row r="34" spans="1:9" ht="21.75" customHeight="1">
      <c r="A34" s="41">
        <v>45992</v>
      </c>
      <c r="B34" s="21">
        <v>4614.88</v>
      </c>
      <c r="C34" s="21">
        <v>1079.3599999999999</v>
      </c>
      <c r="D34" s="21">
        <v>39.51</v>
      </c>
      <c r="E34" s="21">
        <v>156.94</v>
      </c>
      <c r="F34" s="20">
        <v>2.3800000000000002E-2</v>
      </c>
      <c r="G34" s="20">
        <v>2.1899999999999999E-2</v>
      </c>
      <c r="H34" s="20">
        <v>1.7299999999999999E-2</v>
      </c>
      <c r="I34" s="20">
        <v>2.29E-2</v>
      </c>
    </row>
    <row r="35" spans="1:9" ht="21.75" customHeight="1">
      <c r="A35" s="41">
        <v>46023</v>
      </c>
      <c r="B35" s="21">
        <v>4520.41</v>
      </c>
      <c r="C35" s="21">
        <v>1058.83</v>
      </c>
      <c r="D35" s="21">
        <v>38.72</v>
      </c>
      <c r="E35" s="21">
        <v>153.88</v>
      </c>
      <c r="F35" s="20">
        <v>-2.0500000000000001E-2</v>
      </c>
      <c r="G35" s="20">
        <v>-1.9E-2</v>
      </c>
      <c r="H35" s="20">
        <v>-0.02</v>
      </c>
      <c r="I35" s="20">
        <v>-1.95E-2</v>
      </c>
    </row>
    <row r="36" spans="1:9" ht="21.75" customHeight="1">
      <c r="A36" s="41">
        <v>46054</v>
      </c>
      <c r="B36" s="21">
        <v>4491.63</v>
      </c>
      <c r="C36" s="21">
        <v>1052.17</v>
      </c>
      <c r="D36" s="21">
        <v>38.44</v>
      </c>
      <c r="E36" s="21">
        <v>152.44</v>
      </c>
      <c r="F36" s="20">
        <v>-6.4000000000000003E-3</v>
      </c>
      <c r="G36" s="20">
        <v>-6.3E-3</v>
      </c>
      <c r="H36" s="20">
        <v>-7.1999999999999998E-3</v>
      </c>
      <c r="I36" s="20">
        <v>-9.4000000000000004E-3</v>
      </c>
    </row>
    <row r="37" spans="1:9" ht="21.75" customHeight="1">
      <c r="A37" s="41">
        <v>46082</v>
      </c>
      <c r="B37" s="21">
        <v>4623.9399999999996</v>
      </c>
      <c r="C37" s="21">
        <v>1082.3399999999999</v>
      </c>
      <c r="D37" s="21">
        <v>39.28</v>
      </c>
      <c r="E37" s="21">
        <v>156.72</v>
      </c>
      <c r="F37" s="20">
        <v>2.9499999999999998E-2</v>
      </c>
      <c r="G37" s="20">
        <v>2.87E-2</v>
      </c>
      <c r="H37" s="20">
        <v>2.1899999999999999E-2</v>
      </c>
      <c r="I37" s="20">
        <v>2.81E-2</v>
      </c>
    </row>
    <row r="38" spans="1:9" ht="21.75" customHeight="1">
      <c r="A38" s="41">
        <v>46113</v>
      </c>
      <c r="B38" s="21">
        <v>4760.16</v>
      </c>
      <c r="C38" s="21">
        <v>1128.24</v>
      </c>
      <c r="D38" s="21">
        <v>37.17</v>
      </c>
      <c r="E38" s="21">
        <v>167.08</v>
      </c>
      <c r="F38" s="20">
        <v>2.9499999999999998E-2</v>
      </c>
      <c r="G38" s="20">
        <v>4.24E-2</v>
      </c>
      <c r="H38" s="20">
        <v>-5.3699999999999998E-2</v>
      </c>
      <c r="I38" s="20">
        <v>6.6100000000000006E-2</v>
      </c>
    </row>
  </sheetData>
  <mergeCells count="10">
    <mergeCell ref="N28:O28"/>
    <mergeCell ref="N29:O29"/>
    <mergeCell ref="N30:O30"/>
    <mergeCell ref="N31:O31"/>
    <mergeCell ref="K2:P2"/>
    <mergeCell ref="K9:P9"/>
    <mergeCell ref="K17:P17"/>
    <mergeCell ref="K24:P24"/>
    <mergeCell ref="N26:O26"/>
    <mergeCell ref="N27:O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449-C163-4229-A3CB-E90DD3688973}">
  <dimension ref="A1:N16"/>
  <sheetViews>
    <sheetView workbookViewId="0">
      <selection activeCell="C11" sqref="C11"/>
    </sheetView>
  </sheetViews>
  <sheetFormatPr defaultRowHeight="19.5" customHeight="1"/>
  <cols>
    <col min="1" max="1" width="18.5703125" style="19" bestFit="1" customWidth="1"/>
    <col min="2" max="2" width="20.7109375" style="19" bestFit="1" customWidth="1"/>
    <col min="3" max="3" width="20.85546875" style="19" bestFit="1" customWidth="1"/>
    <col min="4" max="4" width="20.7109375" style="19" bestFit="1" customWidth="1"/>
    <col min="5" max="5" width="29.140625" style="19" customWidth="1"/>
    <col min="6" max="6" width="9.140625" style="19"/>
    <col min="7" max="7" width="20" style="19" bestFit="1" customWidth="1"/>
    <col min="8" max="8" width="7.5703125" style="19" bestFit="1" customWidth="1"/>
    <col min="9" max="9" width="11.85546875" style="19" bestFit="1" customWidth="1"/>
    <col min="10" max="10" width="14.42578125" style="19" bestFit="1" customWidth="1"/>
    <col min="11" max="11" width="35.28515625" style="19" customWidth="1"/>
    <col min="12" max="12" width="9.140625" style="19"/>
    <col min="13" max="13" width="30" style="19" customWidth="1"/>
    <col min="14" max="14" width="85.140625" style="19" customWidth="1"/>
    <col min="15" max="16384" width="9.140625" style="19"/>
  </cols>
  <sheetData>
    <row r="1" spans="1:14" ht="19.5" customHeight="1">
      <c r="A1" s="59" t="s">
        <v>100</v>
      </c>
      <c r="B1" s="59"/>
      <c r="C1" s="59"/>
      <c r="D1" s="59"/>
      <c r="E1" s="59"/>
      <c r="G1" s="59" t="s">
        <v>101</v>
      </c>
      <c r="H1" s="59"/>
      <c r="I1" s="59"/>
      <c r="J1" s="59"/>
      <c r="K1" s="59"/>
      <c r="M1" s="59" t="s">
        <v>102</v>
      </c>
      <c r="N1" s="59"/>
    </row>
    <row r="2" spans="1:14" ht="19.5" customHeight="1">
      <c r="A2" s="60"/>
      <c r="B2" s="60"/>
      <c r="C2" s="60"/>
      <c r="D2" s="60"/>
      <c r="E2" s="60"/>
      <c r="G2" s="60"/>
      <c r="H2" s="60"/>
      <c r="I2" s="60"/>
      <c r="J2" s="60"/>
      <c r="K2" s="60"/>
      <c r="M2" s="47"/>
      <c r="N2" s="47"/>
    </row>
    <row r="3" spans="1:14" ht="19.5" customHeight="1">
      <c r="A3" s="47"/>
      <c r="B3" s="47"/>
      <c r="C3" s="47"/>
      <c r="D3" s="47"/>
      <c r="E3" s="47"/>
      <c r="G3" s="47"/>
      <c r="H3" s="47"/>
      <c r="I3" s="47"/>
      <c r="J3" s="47"/>
      <c r="K3" s="47"/>
      <c r="M3" s="24"/>
      <c r="N3" s="24"/>
    </row>
    <row r="4" spans="1:14" ht="19.5" customHeight="1">
      <c r="A4" s="25" t="s">
        <v>103</v>
      </c>
      <c r="B4" s="48" t="s">
        <v>104</v>
      </c>
      <c r="C4" s="48" t="s">
        <v>105</v>
      </c>
      <c r="D4" s="48" t="s">
        <v>106</v>
      </c>
      <c r="E4" s="48" t="s">
        <v>107</v>
      </c>
      <c r="G4" s="56" t="s">
        <v>108</v>
      </c>
      <c r="H4" s="57"/>
      <c r="I4" s="57"/>
      <c r="J4" s="57"/>
      <c r="K4" s="58"/>
      <c r="M4" s="26" t="s">
        <v>109</v>
      </c>
      <c r="N4" s="27" t="s">
        <v>110</v>
      </c>
    </row>
    <row r="5" spans="1:14" ht="19.5" customHeight="1">
      <c r="A5" s="28" t="s">
        <v>111</v>
      </c>
      <c r="B5" s="29" t="s">
        <v>112</v>
      </c>
      <c r="C5" s="29" t="s">
        <v>112</v>
      </c>
      <c r="D5" s="29" t="s">
        <v>113</v>
      </c>
      <c r="E5" s="30" t="s">
        <v>114</v>
      </c>
      <c r="G5" s="31" t="s">
        <v>115</v>
      </c>
      <c r="H5" s="32" t="s">
        <v>104</v>
      </c>
      <c r="I5" s="32" t="s">
        <v>105</v>
      </c>
      <c r="J5" s="32" t="s">
        <v>106</v>
      </c>
      <c r="K5" s="32" t="s">
        <v>116</v>
      </c>
      <c r="M5" s="33" t="s">
        <v>117</v>
      </c>
      <c r="N5" s="30" t="s">
        <v>118</v>
      </c>
    </row>
    <row r="6" spans="1:14" ht="19.5" customHeight="1">
      <c r="A6" s="28" t="s">
        <v>119</v>
      </c>
      <c r="B6" s="29" t="s">
        <v>120</v>
      </c>
      <c r="C6" s="29" t="s">
        <v>121</v>
      </c>
      <c r="D6" s="29" t="s">
        <v>122</v>
      </c>
      <c r="E6" s="30" t="s">
        <v>123</v>
      </c>
      <c r="G6" s="28" t="s">
        <v>124</v>
      </c>
      <c r="H6" s="34">
        <v>100000</v>
      </c>
      <c r="I6" s="34">
        <v>100000</v>
      </c>
      <c r="J6" s="34">
        <v>100000</v>
      </c>
      <c r="K6" s="30" t="s">
        <v>125</v>
      </c>
      <c r="M6" s="24"/>
      <c r="N6" s="24"/>
    </row>
    <row r="7" spans="1:14" ht="19.5" customHeight="1">
      <c r="A7" s="28" t="s">
        <v>126</v>
      </c>
      <c r="B7" s="29" t="s">
        <v>127</v>
      </c>
      <c r="C7" s="29" t="s">
        <v>127</v>
      </c>
      <c r="D7" s="29" t="s">
        <v>127</v>
      </c>
      <c r="E7" s="30" t="s">
        <v>128</v>
      </c>
      <c r="G7" s="28" t="s">
        <v>129</v>
      </c>
      <c r="H7" s="35">
        <v>6.4000000000000001E-2</v>
      </c>
      <c r="I7" s="35">
        <v>6.5000000000000002E-2</v>
      </c>
      <c r="J7" s="35">
        <v>6.9500000000000006E-2</v>
      </c>
      <c r="K7" s="30" t="s">
        <v>130</v>
      </c>
      <c r="M7" s="26" t="s">
        <v>131</v>
      </c>
      <c r="N7" s="27" t="s">
        <v>132</v>
      </c>
    </row>
    <row r="8" spans="1:14" ht="19.5" customHeight="1">
      <c r="A8" s="28" t="s">
        <v>133</v>
      </c>
      <c r="B8" s="29" t="s">
        <v>134</v>
      </c>
      <c r="C8" s="29" t="s">
        <v>135</v>
      </c>
      <c r="D8" s="29" t="s">
        <v>136</v>
      </c>
      <c r="E8" s="30" t="s">
        <v>137</v>
      </c>
      <c r="G8" s="28" t="s">
        <v>138</v>
      </c>
      <c r="H8" s="29">
        <v>3</v>
      </c>
      <c r="I8" s="29">
        <v>3</v>
      </c>
      <c r="J8" s="29">
        <v>3</v>
      </c>
      <c r="K8" s="30" t="s">
        <v>139</v>
      </c>
      <c r="M8" s="33" t="s">
        <v>140</v>
      </c>
      <c r="N8" s="30" t="s">
        <v>141</v>
      </c>
    </row>
    <row r="9" spans="1:14" ht="19.5" customHeight="1">
      <c r="A9" s="28" t="s">
        <v>142</v>
      </c>
      <c r="B9" s="29" t="s">
        <v>143</v>
      </c>
      <c r="C9" s="29" t="s">
        <v>143</v>
      </c>
      <c r="D9" s="29" t="s">
        <v>144</v>
      </c>
      <c r="E9" s="30" t="s">
        <v>145</v>
      </c>
      <c r="G9" s="28" t="s">
        <v>146</v>
      </c>
      <c r="H9" s="29">
        <v>4</v>
      </c>
      <c r="I9" s="29">
        <v>4</v>
      </c>
      <c r="J9" s="29">
        <v>4</v>
      </c>
      <c r="K9" s="30" t="s">
        <v>147</v>
      </c>
      <c r="M9" s="33" t="s">
        <v>148</v>
      </c>
      <c r="N9" s="30" t="s">
        <v>149</v>
      </c>
    </row>
    <row r="10" spans="1:14" ht="19.5" customHeight="1">
      <c r="A10" s="28" t="s">
        <v>150</v>
      </c>
      <c r="B10" s="29" t="s">
        <v>151</v>
      </c>
      <c r="C10" s="29" t="s">
        <v>152</v>
      </c>
      <c r="D10" s="29" t="s">
        <v>153</v>
      </c>
      <c r="E10" s="30" t="s">
        <v>154</v>
      </c>
      <c r="G10" s="36" t="s">
        <v>91</v>
      </c>
      <c r="H10" s="37" t="s">
        <v>91</v>
      </c>
      <c r="I10" s="37" t="s">
        <v>91</v>
      </c>
      <c r="J10" s="37" t="s">
        <v>91</v>
      </c>
      <c r="K10" s="37" t="s">
        <v>91</v>
      </c>
      <c r="M10" s="24"/>
      <c r="N10" s="24"/>
    </row>
    <row r="11" spans="1:14" ht="19.5" customHeight="1">
      <c r="A11" s="28" t="s">
        <v>155</v>
      </c>
      <c r="B11" s="29" t="s">
        <v>156</v>
      </c>
      <c r="C11" s="29" t="s">
        <v>157</v>
      </c>
      <c r="D11" s="29" t="s">
        <v>158</v>
      </c>
      <c r="E11" s="30" t="s">
        <v>159</v>
      </c>
      <c r="G11" s="56" t="s">
        <v>160</v>
      </c>
      <c r="H11" s="57"/>
      <c r="I11" s="57"/>
      <c r="J11" s="57"/>
      <c r="K11" s="58"/>
      <c r="M11" s="26" t="s">
        <v>161</v>
      </c>
      <c r="N11" s="27" t="s">
        <v>162</v>
      </c>
    </row>
    <row r="12" spans="1:14" ht="19.5" customHeight="1">
      <c r="A12" s="28" t="s">
        <v>163</v>
      </c>
      <c r="B12" s="29" t="s">
        <v>164</v>
      </c>
      <c r="C12" s="29" t="s">
        <v>164</v>
      </c>
      <c r="D12" s="29" t="s">
        <v>164</v>
      </c>
      <c r="E12" s="30" t="s">
        <v>165</v>
      </c>
      <c r="G12" s="31" t="s">
        <v>166</v>
      </c>
      <c r="H12" s="32" t="s">
        <v>104</v>
      </c>
      <c r="I12" s="32" t="s">
        <v>105</v>
      </c>
      <c r="J12" s="32" t="s">
        <v>106</v>
      </c>
      <c r="K12" s="32" t="s">
        <v>116</v>
      </c>
      <c r="M12" s="24"/>
      <c r="N12" s="24"/>
    </row>
    <row r="13" spans="1:14" ht="19.5" customHeight="1">
      <c r="A13" s="28" t="s">
        <v>167</v>
      </c>
      <c r="B13" s="29" t="s">
        <v>168</v>
      </c>
      <c r="C13" s="29" t="s">
        <v>169</v>
      </c>
      <c r="D13" s="29" t="s">
        <v>170</v>
      </c>
      <c r="E13" s="30" t="s">
        <v>171</v>
      </c>
      <c r="G13" s="28" t="s">
        <v>172</v>
      </c>
      <c r="H13" s="34">
        <v>120983</v>
      </c>
      <c r="I13" s="34">
        <v>121341</v>
      </c>
      <c r="J13" s="34">
        <v>122963</v>
      </c>
      <c r="K13" s="30" t="s">
        <v>173</v>
      </c>
      <c r="M13" s="26" t="s">
        <v>174</v>
      </c>
      <c r="N13" s="27" t="s">
        <v>175</v>
      </c>
    </row>
    <row r="14" spans="1:14" ht="19.5" customHeight="1">
      <c r="A14" s="28" t="s">
        <v>176</v>
      </c>
      <c r="B14" s="29" t="s">
        <v>177</v>
      </c>
      <c r="C14" s="29" t="s">
        <v>177</v>
      </c>
      <c r="D14" s="29" t="s">
        <v>178</v>
      </c>
      <c r="E14" s="30" t="s">
        <v>179</v>
      </c>
      <c r="G14" s="28" t="s">
        <v>180</v>
      </c>
      <c r="H14" s="34">
        <v>20983</v>
      </c>
      <c r="I14" s="34">
        <v>21341</v>
      </c>
      <c r="J14" s="34">
        <v>22963</v>
      </c>
      <c r="K14" s="30" t="s">
        <v>181</v>
      </c>
      <c r="M14" s="33" t="s">
        <v>182</v>
      </c>
      <c r="N14" s="30" t="s">
        <v>183</v>
      </c>
    </row>
    <row r="15" spans="1:14" ht="19.5" customHeight="1">
      <c r="A15" s="28" t="s">
        <v>184</v>
      </c>
      <c r="B15" s="29" t="s">
        <v>185</v>
      </c>
      <c r="C15" s="29" t="s">
        <v>186</v>
      </c>
      <c r="D15" s="29" t="s">
        <v>187</v>
      </c>
      <c r="E15" s="30" t="s">
        <v>188</v>
      </c>
      <c r="G15" s="28" t="s">
        <v>189</v>
      </c>
      <c r="H15" s="29">
        <v>0</v>
      </c>
      <c r="I15" s="29">
        <v>358</v>
      </c>
      <c r="J15" s="34">
        <v>1979</v>
      </c>
      <c r="K15" s="30" t="s">
        <v>190</v>
      </c>
      <c r="M15" s="24"/>
      <c r="N15" s="24"/>
    </row>
    <row r="16" spans="1:14" ht="19.5" customHeight="1">
      <c r="A16" s="28" t="s">
        <v>191</v>
      </c>
      <c r="B16" s="29" t="s">
        <v>192</v>
      </c>
      <c r="C16" s="29" t="s">
        <v>193</v>
      </c>
      <c r="D16" s="29" t="s">
        <v>194</v>
      </c>
      <c r="E16" s="30" t="s">
        <v>91</v>
      </c>
      <c r="G16" s="28" t="s">
        <v>195</v>
      </c>
      <c r="H16" s="35">
        <v>6.5600000000000006E-2</v>
      </c>
      <c r="I16" s="35">
        <v>6.6600000000000006E-2</v>
      </c>
      <c r="J16" s="35">
        <v>7.1300000000000002E-2</v>
      </c>
      <c r="K16" s="30" t="s">
        <v>196</v>
      </c>
      <c r="M16" s="26" t="s">
        <v>197</v>
      </c>
      <c r="N16" s="27" t="s">
        <v>198</v>
      </c>
    </row>
  </sheetData>
  <mergeCells count="7">
    <mergeCell ref="G4:K4"/>
    <mergeCell ref="G11:K11"/>
    <mergeCell ref="M1:N1"/>
    <mergeCell ref="A1:E1"/>
    <mergeCell ref="A2:E2"/>
    <mergeCell ref="G1:K1"/>
    <mergeCell ref="G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E6B1-4833-4481-874E-6631CA5D8FC8}">
  <dimension ref="A1"/>
  <sheetViews>
    <sheetView workbookViewId="0">
      <selection activeCell="M11" sqref="M11:R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Samraat Prajapat</dc:creator>
  <cp:keywords/>
  <dc:description/>
  <cp:lastModifiedBy/>
  <cp:revision/>
  <dcterms:created xsi:type="dcterms:W3CDTF">2026-02-23T10:53:09Z</dcterms:created>
  <dcterms:modified xsi:type="dcterms:W3CDTF">2026-04-28T06:09:55Z</dcterms:modified>
  <cp:category/>
  <cp:contentStatus/>
</cp:coreProperties>
</file>